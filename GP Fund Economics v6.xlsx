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arciMedford\Desktop\"/>
    </mc:Choice>
  </mc:AlternateContent>
  <xr:revisionPtr revIDLastSave="0" documentId="8_{E6F898CE-DA1B-43AC-930D-3F87A9881235}" xr6:coauthVersionLast="47" xr6:coauthVersionMax="47" xr10:uidLastSave="{00000000-0000-0000-0000-000000000000}"/>
  <bookViews>
    <workbookView xWindow="-120" yWindow="-120" windowWidth="38640" windowHeight="15720" xr2:uid="{9C0A85BC-F382-405B-A228-9FDDFD143FC1}"/>
  </bookViews>
  <sheets>
    <sheet name="Sheet1" sheetId="1" r:id="rId1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1" l="1"/>
  <c r="E63" i="1"/>
  <c r="F63" i="1"/>
  <c r="G63" i="1"/>
  <c r="H63" i="1"/>
  <c r="I63" i="1"/>
  <c r="J63" i="1"/>
  <c r="K63" i="1"/>
  <c r="L63" i="1"/>
  <c r="M63" i="1"/>
  <c r="N63" i="1"/>
  <c r="E102" i="1"/>
  <c r="D78" i="1"/>
  <c r="C13" i="1"/>
  <c r="D79" i="1" s="1"/>
  <c r="E58" i="1"/>
  <c r="E120" i="1" s="1"/>
  <c r="H41" i="1"/>
  <c r="D73" i="1" s="1"/>
  <c r="H40" i="1"/>
  <c r="D72" i="1" s="1"/>
  <c r="E41" i="1"/>
  <c r="E42" i="1"/>
  <c r="E40" i="1"/>
  <c r="C48" i="1"/>
  <c r="C50" i="1" s="1"/>
  <c r="C43" i="1" s="1"/>
  <c r="C40" i="1" s="1"/>
  <c r="C11" i="1"/>
  <c r="H42" i="1" s="1"/>
  <c r="D132" i="1" l="1"/>
  <c r="E70" i="1"/>
  <c r="E93" i="1" s="1"/>
  <c r="E121" i="1"/>
  <c r="E62" i="1"/>
  <c r="E92" i="1"/>
  <c r="F58" i="1"/>
  <c r="E68" i="1"/>
  <c r="D74" i="1"/>
  <c r="D109" i="1"/>
  <c r="D90" i="1"/>
  <c r="D100" i="1"/>
  <c r="D125" i="1"/>
  <c r="D126" i="1"/>
  <c r="I43" i="1"/>
  <c r="I41" i="1" s="1"/>
  <c r="D99" i="1" s="1"/>
  <c r="F70" i="1" l="1"/>
  <c r="F93" i="1" s="1"/>
  <c r="E122" i="1"/>
  <c r="F62" i="1"/>
  <c r="F103" i="1" s="1"/>
  <c r="F121" i="1"/>
  <c r="E69" i="1"/>
  <c r="E71" i="1" s="1"/>
  <c r="E74" i="1" s="1"/>
  <c r="F68" i="1"/>
  <c r="G58" i="1"/>
  <c r="F120" i="1"/>
  <c r="F92" i="1"/>
  <c r="I40" i="1"/>
  <c r="D89" i="1" s="1"/>
  <c r="I42" i="1"/>
  <c r="E126" i="1" l="1"/>
  <c r="E125" i="1"/>
  <c r="F24" i="1"/>
  <c r="N84" i="1" s="1"/>
  <c r="G23" i="1"/>
  <c r="F23" i="1"/>
  <c r="G22" i="1"/>
  <c r="G70" i="1"/>
  <c r="G93" i="1" s="1"/>
  <c r="F122" i="1"/>
  <c r="G62" i="1"/>
  <c r="G103" i="1" s="1"/>
  <c r="G121" i="1"/>
  <c r="F112" i="1"/>
  <c r="F69" i="1"/>
  <c r="F71" i="1" s="1"/>
  <c r="F72" i="1" s="1"/>
  <c r="F94" i="1"/>
  <c r="D108" i="1"/>
  <c r="F30" i="1"/>
  <c r="F29" i="1"/>
  <c r="G29" i="1"/>
  <c r="G28" i="1"/>
  <c r="H58" i="1"/>
  <c r="G120" i="1"/>
  <c r="G92" i="1"/>
  <c r="G68" i="1"/>
  <c r="E73" i="1"/>
  <c r="E72" i="1"/>
  <c r="N83" i="1" l="1"/>
  <c r="N82" i="1"/>
  <c r="F125" i="1"/>
  <c r="F126" i="1"/>
  <c r="H70" i="1"/>
  <c r="H93" i="1" s="1"/>
  <c r="G112" i="1"/>
  <c r="G69" i="1"/>
  <c r="G71" i="1" s="1"/>
  <c r="G94" i="1"/>
  <c r="H62" i="1"/>
  <c r="H112" i="1" s="1"/>
  <c r="H121" i="1"/>
  <c r="G122" i="1"/>
  <c r="G125" i="1" s="1"/>
  <c r="F74" i="1"/>
  <c r="F73" i="1"/>
  <c r="I58" i="1"/>
  <c r="H120" i="1"/>
  <c r="H92" i="1"/>
  <c r="H68" i="1"/>
  <c r="N86" i="1" l="1"/>
  <c r="I70" i="1"/>
  <c r="I93" i="1" s="1"/>
  <c r="H103" i="1"/>
  <c r="H94" i="1"/>
  <c r="H69" i="1"/>
  <c r="H71" i="1" s="1"/>
  <c r="H74" i="1" s="1"/>
  <c r="I62" i="1"/>
  <c r="I69" i="1" s="1"/>
  <c r="I121" i="1"/>
  <c r="G126" i="1"/>
  <c r="H122" i="1"/>
  <c r="H125" i="1" s="1"/>
  <c r="J58" i="1"/>
  <c r="I92" i="1"/>
  <c r="I120" i="1"/>
  <c r="I68" i="1"/>
  <c r="G72" i="1"/>
  <c r="G73" i="1"/>
  <c r="G74" i="1"/>
  <c r="J70" i="1" l="1"/>
  <c r="J93" i="1" s="1"/>
  <c r="I103" i="1"/>
  <c r="I112" i="1"/>
  <c r="I94" i="1"/>
  <c r="J62" i="1"/>
  <c r="J94" i="1" s="1"/>
  <c r="J121" i="1"/>
  <c r="H73" i="1"/>
  <c r="H72" i="1"/>
  <c r="I71" i="1"/>
  <c r="I73" i="1" s="1"/>
  <c r="I122" i="1"/>
  <c r="H126" i="1"/>
  <c r="K58" i="1"/>
  <c r="J92" i="1"/>
  <c r="J120" i="1"/>
  <c r="J68" i="1"/>
  <c r="K70" i="1" l="1"/>
  <c r="K93" i="1" s="1"/>
  <c r="J69" i="1"/>
  <c r="J71" i="1" s="1"/>
  <c r="J73" i="1" s="1"/>
  <c r="J122" i="1"/>
  <c r="J126" i="1" s="1"/>
  <c r="J112" i="1"/>
  <c r="J103" i="1"/>
  <c r="K62" i="1"/>
  <c r="K112" i="1" s="1"/>
  <c r="K121" i="1"/>
  <c r="I72" i="1"/>
  <c r="I74" i="1"/>
  <c r="I126" i="1"/>
  <c r="I125" i="1"/>
  <c r="L58" i="1"/>
  <c r="K92" i="1"/>
  <c r="K120" i="1"/>
  <c r="K68" i="1"/>
  <c r="L70" i="1" l="1"/>
  <c r="L93" i="1" s="1"/>
  <c r="J125" i="1"/>
  <c r="K69" i="1"/>
  <c r="K71" i="1" s="1"/>
  <c r="K74" i="1" s="1"/>
  <c r="K122" i="1"/>
  <c r="K125" i="1" s="1"/>
  <c r="J72" i="1"/>
  <c r="J74" i="1"/>
  <c r="K94" i="1"/>
  <c r="K103" i="1"/>
  <c r="L62" i="1"/>
  <c r="L112" i="1" s="1"/>
  <c r="L121" i="1"/>
  <c r="M58" i="1"/>
  <c r="L92" i="1"/>
  <c r="L120" i="1"/>
  <c r="L68" i="1"/>
  <c r="M70" i="1" l="1"/>
  <c r="M93" i="1" s="1"/>
  <c r="K126" i="1"/>
  <c r="K73" i="1"/>
  <c r="K72" i="1"/>
  <c r="L122" i="1"/>
  <c r="L125" i="1" s="1"/>
  <c r="L103" i="1"/>
  <c r="L94" i="1"/>
  <c r="L69" i="1"/>
  <c r="L71" i="1" s="1"/>
  <c r="M62" i="1"/>
  <c r="M103" i="1" s="1"/>
  <c r="M121" i="1"/>
  <c r="N58" i="1"/>
  <c r="M92" i="1"/>
  <c r="M120" i="1"/>
  <c r="M68" i="1"/>
  <c r="N70" i="1" l="1"/>
  <c r="N93" i="1"/>
  <c r="L126" i="1"/>
  <c r="M122" i="1"/>
  <c r="M126" i="1" s="1"/>
  <c r="L72" i="1"/>
  <c r="L73" i="1"/>
  <c r="L74" i="1"/>
  <c r="M69" i="1"/>
  <c r="M71" i="1" s="1"/>
  <c r="M94" i="1"/>
  <c r="M112" i="1"/>
  <c r="N62" i="1"/>
  <c r="N112" i="1" s="1"/>
  <c r="N121" i="1"/>
  <c r="N92" i="1"/>
  <c r="N120" i="1"/>
  <c r="N68" i="1"/>
  <c r="N122" i="1" l="1"/>
  <c r="M125" i="1"/>
  <c r="N94" i="1"/>
  <c r="N103" i="1"/>
  <c r="M73" i="1"/>
  <c r="M72" i="1"/>
  <c r="M74" i="1"/>
  <c r="N125" i="1"/>
  <c r="N126" i="1"/>
  <c r="N69" i="1"/>
  <c r="N71" i="1" s="1"/>
  <c r="N72" i="1" l="1"/>
  <c r="N73" i="1"/>
  <c r="N74" i="1"/>
  <c r="E110" i="1" l="1"/>
  <c r="F110" i="1" l="1"/>
  <c r="G110" i="1"/>
  <c r="H110" i="1"/>
  <c r="I110" i="1"/>
  <c r="J110" i="1"/>
  <c r="K110" i="1"/>
  <c r="L110" i="1"/>
  <c r="M110" i="1"/>
  <c r="N110" i="1"/>
  <c r="N76" i="1" l="1"/>
  <c r="N77" i="1"/>
  <c r="N78" i="1"/>
  <c r="N79" i="1"/>
  <c r="N91" i="1"/>
  <c r="N95" i="1"/>
  <c r="N96" i="1"/>
  <c r="N101" i="1"/>
  <c r="N104" i="1"/>
  <c r="N105" i="1"/>
  <c r="N111" i="1"/>
  <c r="N113" i="1"/>
  <c r="N114" i="1"/>
  <c r="N88" i="1" s="1"/>
  <c r="N127" i="1"/>
  <c r="N130" i="1"/>
  <c r="N131" i="1"/>
  <c r="N132" i="1"/>
  <c r="N135" i="1"/>
  <c r="N136" i="1"/>
  <c r="N137" i="1"/>
  <c r="N149" i="1"/>
  <c r="N150" i="1"/>
  <c r="N151" i="1"/>
  <c r="N140" i="1" s="1"/>
  <c r="N155" i="1"/>
  <c r="N156" i="1"/>
  <c r="N157" i="1"/>
  <c r="N160" i="1"/>
  <c r="N161" i="1"/>
  <c r="N162" i="1"/>
  <c r="N141" i="1" l="1"/>
  <c r="N142" i="1"/>
  <c r="N128" i="1" l="1"/>
  <c r="N144" i="1"/>
  <c r="N145" i="1" s="1"/>
  <c r="E76" i="1"/>
  <c r="F76" i="1"/>
  <c r="G76" i="1"/>
  <c r="H76" i="1"/>
  <c r="I76" i="1"/>
  <c r="J76" i="1"/>
  <c r="K76" i="1"/>
  <c r="L76" i="1"/>
  <c r="M76" i="1"/>
  <c r="E77" i="1"/>
  <c r="F77" i="1"/>
  <c r="G77" i="1"/>
  <c r="H77" i="1"/>
  <c r="I77" i="1"/>
  <c r="J77" i="1"/>
  <c r="K77" i="1"/>
  <c r="L77" i="1"/>
  <c r="M77" i="1"/>
  <c r="E78" i="1"/>
  <c r="F78" i="1"/>
  <c r="G78" i="1"/>
  <c r="H78" i="1"/>
  <c r="I78" i="1"/>
  <c r="J78" i="1"/>
  <c r="K78" i="1"/>
  <c r="L78" i="1"/>
  <c r="M78" i="1"/>
  <c r="E79" i="1"/>
  <c r="F79" i="1"/>
  <c r="G79" i="1"/>
  <c r="H79" i="1"/>
  <c r="I79" i="1"/>
  <c r="J79" i="1"/>
  <c r="K79" i="1"/>
  <c r="L79" i="1"/>
  <c r="M79" i="1"/>
  <c r="E82" i="1"/>
  <c r="F82" i="1"/>
  <c r="G82" i="1"/>
  <c r="H82" i="1"/>
  <c r="I82" i="1"/>
  <c r="J82" i="1"/>
  <c r="K82" i="1"/>
  <c r="L82" i="1"/>
  <c r="M82" i="1"/>
  <c r="E83" i="1"/>
  <c r="F83" i="1"/>
  <c r="G83" i="1"/>
  <c r="H83" i="1"/>
  <c r="I83" i="1"/>
  <c r="J83" i="1"/>
  <c r="K83" i="1"/>
  <c r="L83" i="1"/>
  <c r="M83" i="1"/>
  <c r="E84" i="1"/>
  <c r="F84" i="1"/>
  <c r="G84" i="1"/>
  <c r="H84" i="1"/>
  <c r="I84" i="1"/>
  <c r="J84" i="1"/>
  <c r="K84" i="1"/>
  <c r="L84" i="1"/>
  <c r="M84" i="1"/>
  <c r="E86" i="1"/>
  <c r="F86" i="1"/>
  <c r="G86" i="1"/>
  <c r="H86" i="1"/>
  <c r="I86" i="1"/>
  <c r="J86" i="1"/>
  <c r="K86" i="1"/>
  <c r="L86" i="1"/>
  <c r="M86" i="1"/>
  <c r="E88" i="1"/>
  <c r="F88" i="1"/>
  <c r="G88" i="1"/>
  <c r="H88" i="1"/>
  <c r="I88" i="1"/>
  <c r="J88" i="1"/>
  <c r="K88" i="1"/>
  <c r="L88" i="1"/>
  <c r="M88" i="1"/>
  <c r="E91" i="1"/>
  <c r="F91" i="1"/>
  <c r="G91" i="1"/>
  <c r="H91" i="1"/>
  <c r="I91" i="1"/>
  <c r="J91" i="1"/>
  <c r="K91" i="1"/>
  <c r="L91" i="1"/>
  <c r="M91" i="1"/>
  <c r="E95" i="1"/>
  <c r="F95" i="1"/>
  <c r="G95" i="1"/>
  <c r="H95" i="1"/>
  <c r="I95" i="1"/>
  <c r="J95" i="1"/>
  <c r="K95" i="1"/>
  <c r="L95" i="1"/>
  <c r="M95" i="1"/>
  <c r="E96" i="1"/>
  <c r="F96" i="1"/>
  <c r="G96" i="1"/>
  <c r="H96" i="1"/>
  <c r="I96" i="1"/>
  <c r="J96" i="1"/>
  <c r="K96" i="1"/>
  <c r="L96" i="1"/>
  <c r="M96" i="1"/>
  <c r="E101" i="1"/>
  <c r="F101" i="1"/>
  <c r="G101" i="1"/>
  <c r="H101" i="1"/>
  <c r="I101" i="1"/>
  <c r="J101" i="1"/>
  <c r="K101" i="1"/>
  <c r="L101" i="1"/>
  <c r="M101" i="1"/>
  <c r="E104" i="1"/>
  <c r="F104" i="1"/>
  <c r="G104" i="1"/>
  <c r="H104" i="1"/>
  <c r="I104" i="1"/>
  <c r="J104" i="1"/>
  <c r="K104" i="1"/>
  <c r="L104" i="1"/>
  <c r="M104" i="1"/>
  <c r="E105" i="1"/>
  <c r="F105" i="1"/>
  <c r="G105" i="1"/>
  <c r="H105" i="1"/>
  <c r="I105" i="1"/>
  <c r="J105" i="1"/>
  <c r="K105" i="1"/>
  <c r="L105" i="1"/>
  <c r="M105" i="1"/>
  <c r="E111" i="1"/>
  <c r="F111" i="1"/>
  <c r="G111" i="1"/>
  <c r="H111" i="1"/>
  <c r="I111" i="1"/>
  <c r="J111" i="1"/>
  <c r="K111" i="1"/>
  <c r="L111" i="1"/>
  <c r="M111" i="1"/>
  <c r="E113" i="1"/>
  <c r="F113" i="1"/>
  <c r="G113" i="1"/>
  <c r="H113" i="1"/>
  <c r="I113" i="1"/>
  <c r="J113" i="1"/>
  <c r="K113" i="1"/>
  <c r="L113" i="1"/>
  <c r="M113" i="1"/>
  <c r="E114" i="1"/>
  <c r="F114" i="1"/>
  <c r="G114" i="1"/>
  <c r="H114" i="1"/>
  <c r="I114" i="1"/>
  <c r="J114" i="1"/>
  <c r="K114" i="1"/>
  <c r="L114" i="1"/>
  <c r="M114" i="1"/>
  <c r="E116" i="1"/>
  <c r="F116" i="1"/>
  <c r="G116" i="1"/>
  <c r="H116" i="1"/>
  <c r="I116" i="1"/>
  <c r="J116" i="1"/>
  <c r="K116" i="1"/>
  <c r="L116" i="1"/>
  <c r="M116" i="1"/>
  <c r="E117" i="1"/>
  <c r="F117" i="1"/>
  <c r="G117" i="1"/>
  <c r="H117" i="1"/>
  <c r="I117" i="1"/>
  <c r="J117" i="1"/>
  <c r="K117" i="1"/>
  <c r="L117" i="1"/>
  <c r="M117" i="1"/>
  <c r="E127" i="1"/>
  <c r="F127" i="1"/>
  <c r="G127" i="1"/>
  <c r="H127" i="1"/>
  <c r="I127" i="1"/>
  <c r="J127" i="1"/>
  <c r="K127" i="1"/>
  <c r="L127" i="1"/>
  <c r="M127" i="1"/>
  <c r="E128" i="1"/>
  <c r="F128" i="1"/>
  <c r="G128" i="1"/>
  <c r="H128" i="1"/>
  <c r="I128" i="1"/>
  <c r="J128" i="1"/>
  <c r="K128" i="1"/>
  <c r="L128" i="1"/>
  <c r="M128" i="1"/>
  <c r="E130" i="1"/>
  <c r="F130" i="1"/>
  <c r="G130" i="1"/>
  <c r="H130" i="1"/>
  <c r="I130" i="1"/>
  <c r="J130" i="1"/>
  <c r="K130" i="1"/>
  <c r="L130" i="1"/>
  <c r="M130" i="1"/>
  <c r="E131" i="1"/>
  <c r="F131" i="1"/>
  <c r="G131" i="1"/>
  <c r="H131" i="1"/>
  <c r="I131" i="1"/>
  <c r="J131" i="1"/>
  <c r="K131" i="1"/>
  <c r="L131" i="1"/>
  <c r="M131" i="1"/>
  <c r="E132" i="1"/>
  <c r="F132" i="1"/>
  <c r="G132" i="1"/>
  <c r="H132" i="1"/>
  <c r="I132" i="1"/>
  <c r="J132" i="1"/>
  <c r="K132" i="1"/>
  <c r="L132" i="1"/>
  <c r="M132" i="1"/>
  <c r="E135" i="1"/>
  <c r="F135" i="1"/>
  <c r="G135" i="1"/>
  <c r="H135" i="1"/>
  <c r="I135" i="1"/>
  <c r="J135" i="1"/>
  <c r="K135" i="1"/>
  <c r="L135" i="1"/>
  <c r="M135" i="1"/>
  <c r="E136" i="1"/>
  <c r="F136" i="1"/>
  <c r="G136" i="1"/>
  <c r="H136" i="1"/>
  <c r="I136" i="1"/>
  <c r="J136" i="1"/>
  <c r="K136" i="1"/>
  <c r="L136" i="1"/>
  <c r="M136" i="1"/>
  <c r="E137" i="1"/>
  <c r="F137" i="1"/>
  <c r="G137" i="1"/>
  <c r="H137" i="1"/>
  <c r="I137" i="1"/>
  <c r="J137" i="1"/>
  <c r="K137" i="1"/>
  <c r="L137" i="1"/>
  <c r="M137" i="1"/>
  <c r="E140" i="1"/>
  <c r="F140" i="1"/>
  <c r="G140" i="1"/>
  <c r="H140" i="1"/>
  <c r="I140" i="1"/>
  <c r="J140" i="1"/>
  <c r="K140" i="1"/>
  <c r="L140" i="1"/>
  <c r="M140" i="1"/>
  <c r="E141" i="1"/>
  <c r="F141" i="1"/>
  <c r="G141" i="1"/>
  <c r="H141" i="1"/>
  <c r="I141" i="1"/>
  <c r="J141" i="1"/>
  <c r="K141" i="1"/>
  <c r="L141" i="1"/>
  <c r="M141" i="1"/>
  <c r="E142" i="1"/>
  <c r="F142" i="1"/>
  <c r="G142" i="1"/>
  <c r="H142" i="1"/>
  <c r="I142" i="1"/>
  <c r="J142" i="1"/>
  <c r="K142" i="1"/>
  <c r="L142" i="1"/>
  <c r="M142" i="1"/>
  <c r="E144" i="1"/>
  <c r="F144" i="1"/>
  <c r="G144" i="1"/>
  <c r="H144" i="1"/>
  <c r="I144" i="1"/>
  <c r="J144" i="1"/>
  <c r="K144" i="1"/>
  <c r="L144" i="1"/>
  <c r="M144" i="1"/>
  <c r="E145" i="1"/>
  <c r="F145" i="1"/>
  <c r="G145" i="1"/>
  <c r="H145" i="1"/>
  <c r="I145" i="1"/>
  <c r="J145" i="1"/>
  <c r="K145" i="1"/>
  <c r="L145" i="1"/>
  <c r="M145" i="1"/>
  <c r="E149" i="1"/>
  <c r="F149" i="1"/>
  <c r="G149" i="1"/>
  <c r="H149" i="1"/>
  <c r="I149" i="1"/>
  <c r="J149" i="1"/>
  <c r="K149" i="1"/>
  <c r="L149" i="1"/>
  <c r="M149" i="1"/>
  <c r="E150" i="1"/>
  <c r="F150" i="1"/>
  <c r="G150" i="1"/>
  <c r="H150" i="1"/>
  <c r="I150" i="1"/>
  <c r="J150" i="1"/>
  <c r="K150" i="1"/>
  <c r="L150" i="1"/>
  <c r="M150" i="1"/>
  <c r="E151" i="1"/>
  <c r="F151" i="1"/>
  <c r="G151" i="1"/>
  <c r="H151" i="1"/>
  <c r="I151" i="1"/>
  <c r="J151" i="1"/>
  <c r="K151" i="1"/>
  <c r="L151" i="1"/>
  <c r="M151" i="1"/>
  <c r="E155" i="1"/>
  <c r="F155" i="1"/>
  <c r="G155" i="1"/>
  <c r="H155" i="1"/>
  <c r="I155" i="1"/>
  <c r="J155" i="1"/>
  <c r="K155" i="1"/>
  <c r="L155" i="1"/>
  <c r="M155" i="1"/>
  <c r="E156" i="1"/>
  <c r="F156" i="1"/>
  <c r="G156" i="1"/>
  <c r="H156" i="1"/>
  <c r="I156" i="1"/>
  <c r="J156" i="1"/>
  <c r="K156" i="1"/>
  <c r="L156" i="1"/>
  <c r="M156" i="1"/>
  <c r="E157" i="1"/>
  <c r="F157" i="1"/>
  <c r="G157" i="1"/>
  <c r="H157" i="1"/>
  <c r="I157" i="1"/>
  <c r="J157" i="1"/>
  <c r="K157" i="1"/>
  <c r="L157" i="1"/>
  <c r="M157" i="1"/>
  <c r="E160" i="1"/>
  <c r="F160" i="1"/>
  <c r="G160" i="1"/>
  <c r="H160" i="1"/>
  <c r="I160" i="1"/>
  <c r="J160" i="1"/>
  <c r="K160" i="1"/>
  <c r="L160" i="1"/>
  <c r="M160" i="1"/>
  <c r="E161" i="1"/>
  <c r="F161" i="1"/>
  <c r="G161" i="1"/>
  <c r="H161" i="1"/>
  <c r="I161" i="1"/>
  <c r="J161" i="1"/>
  <c r="K161" i="1"/>
  <c r="L161" i="1"/>
  <c r="M161" i="1"/>
  <c r="E162" i="1"/>
  <c r="F162" i="1"/>
  <c r="G162" i="1"/>
  <c r="H162" i="1"/>
  <c r="I162" i="1"/>
  <c r="J162" i="1"/>
  <c r="K162" i="1"/>
  <c r="L162" i="1"/>
  <c r="M162" i="1"/>
</calcChain>
</file>

<file path=xl/sharedStrings.xml><?xml version="1.0" encoding="utf-8"?>
<sst xmlns="http://schemas.openxmlformats.org/spreadsheetml/2006/main" count="129" uniqueCount="101">
  <si>
    <t>Inputs</t>
  </si>
  <si>
    <t>Investment</t>
  </si>
  <si>
    <t>Debt</t>
  </si>
  <si>
    <t>GP 1 Contribution</t>
  </si>
  <si>
    <t>Sources and Uses</t>
  </si>
  <si>
    <t>Calculation</t>
  </si>
  <si>
    <t>Sources</t>
  </si>
  <si>
    <t>Uses</t>
  </si>
  <si>
    <t>Invesment</t>
  </si>
  <si>
    <t>LP Contribution</t>
  </si>
  <si>
    <t>Total Sources</t>
  </si>
  <si>
    <t>Total Uses</t>
  </si>
  <si>
    <t>Equity</t>
  </si>
  <si>
    <t>Equity Split</t>
  </si>
  <si>
    <t>Total Equity Check</t>
  </si>
  <si>
    <t>%</t>
  </si>
  <si>
    <t>$</t>
  </si>
  <si>
    <t>GP1: % of GP Profits</t>
  </si>
  <si>
    <t>Assest Management Fee per Year (Paid to GP1)</t>
  </si>
  <si>
    <t>Acquisition Fee (Paid to GP1)</t>
  </si>
  <si>
    <t>Return Hurdle</t>
  </si>
  <si>
    <t>Cash Flow Split GP</t>
  </si>
  <si>
    <t>GP 2 Contribution</t>
  </si>
  <si>
    <t>Exit Year</t>
  </si>
  <si>
    <t>Exit Amount</t>
  </si>
  <si>
    <t>Years</t>
  </si>
  <si>
    <t>% to GP1</t>
  </si>
  <si>
    <t>% to GP2</t>
  </si>
  <si>
    <t>% to LP</t>
  </si>
  <si>
    <t>Cash flow to GP and LP</t>
  </si>
  <si>
    <t>NOI % of Investment</t>
  </si>
  <si>
    <t>Assumed GP2: % of profits</t>
  </si>
  <si>
    <t>Original investment</t>
  </si>
  <si>
    <t>GP2</t>
  </si>
  <si>
    <t>Cash flow GP from LP</t>
  </si>
  <si>
    <t>% cash flow cut</t>
  </si>
  <si>
    <t>% ownership to GP1</t>
  </si>
  <si>
    <t>% ownership to GP2</t>
  </si>
  <si>
    <t>GP1</t>
  </si>
  <si>
    <t>Total Cash Flow</t>
  </si>
  <si>
    <t>Original Investment</t>
  </si>
  <si>
    <t xml:space="preserve">Plus: Asset Mgmt fee Per year </t>
  </si>
  <si>
    <t>Less: Acquisition Fee</t>
  </si>
  <si>
    <t>Less: Management Fee per Year</t>
  </si>
  <si>
    <t>Plus: Acquisition Fee</t>
  </si>
  <si>
    <t>Net Cash Flow paid to GP2</t>
  </si>
  <si>
    <t>LP</t>
  </si>
  <si>
    <t>Culmulative Cash Flow</t>
  </si>
  <si>
    <t>Net Cash Flow paid to LP</t>
  </si>
  <si>
    <t>Less: Cash Split to GP</t>
  </si>
  <si>
    <t>Net Cash Flow</t>
  </si>
  <si>
    <t>Total Cash Flow Adj. Fees</t>
  </si>
  <si>
    <t>Net Cash flow paid to GP1</t>
  </si>
  <si>
    <t>Total Cash Flow (owed) Adj. Fees</t>
  </si>
  <si>
    <t>Cumulative Cash Flow</t>
  </si>
  <si>
    <t>Total Proceeds</t>
  </si>
  <si>
    <t>Returns - MOIC</t>
  </si>
  <si>
    <t>Returns - IRR</t>
  </si>
  <si>
    <t>NOI of investment</t>
  </si>
  <si>
    <t>Less: Interest on debt</t>
  </si>
  <si>
    <t>Interest</t>
  </si>
  <si>
    <t>Plus: Equity back from Debt</t>
  </si>
  <si>
    <t>Plus: Equity back from debt</t>
  </si>
  <si>
    <t>Equity back on Debt</t>
  </si>
  <si>
    <t>Post Return Hudle Distribution to GP</t>
  </si>
  <si>
    <t>Enterprise Value of the Asset</t>
  </si>
  <si>
    <t>Less: Debt</t>
  </si>
  <si>
    <t>Equity Value</t>
  </si>
  <si>
    <t>Ownership</t>
  </si>
  <si>
    <t>Memo: LP Ownership based on tiered structure</t>
  </si>
  <si>
    <t xml:space="preserve">Dollar Basis </t>
  </si>
  <si>
    <t>Multiple Basis</t>
  </si>
  <si>
    <t>Debt Year</t>
  </si>
  <si>
    <t>Memo: Include Debt?</t>
  </si>
  <si>
    <t>Memo: Interest Rate</t>
  </si>
  <si>
    <t>&lt;&lt;&lt; Do not touch</t>
  </si>
  <si>
    <t>Proceeds taxed at 10%</t>
  </si>
  <si>
    <t>Proceeds taxed at 20%</t>
  </si>
  <si>
    <t>Proceeds taxed at 25%</t>
  </si>
  <si>
    <t>&lt;&lt;&lt; Assumes Debt backed out for LP ownership calculation</t>
  </si>
  <si>
    <t>Circ</t>
  </si>
  <si>
    <t>% Cash-flow Distribution to GP</t>
  </si>
  <si>
    <t>% Equity Distribution to GP</t>
  </si>
  <si>
    <t>Assest Management Fee Termination Year</t>
  </si>
  <si>
    <t>Equity Value Proceeds</t>
  </si>
  <si>
    <t>Cash Flow Proceeds</t>
  </si>
  <si>
    <t>Total Equity Proceeds</t>
  </si>
  <si>
    <t>Equity Value Proceeds (excludes excess proceeds from LP)</t>
  </si>
  <si>
    <t>Excess Proceeds from LP to GP</t>
  </si>
  <si>
    <t>Reference Only: LP Hurdle Schedule for Equity Value Proceeds Only</t>
  </si>
  <si>
    <t>Return Hurdle Schedule - Equity Value Only</t>
  </si>
  <si>
    <t>Taxed Proceeds</t>
  </si>
  <si>
    <t>% Proceeds to GP</t>
  </si>
  <si>
    <t>Memo: % Cash Flow Cut based on schedule</t>
  </si>
  <si>
    <t>Cash Flow Cut %</t>
  </si>
  <si>
    <t>Return Hurdle Schedule - Total Cash Flow Proceeds Only</t>
  </si>
  <si>
    <t>&lt;&lt; No longer used</t>
  </si>
  <si>
    <t>Variable based on total cash flow proceeds</t>
  </si>
  <si>
    <t>Cash Flow (exclude debt payback)</t>
  </si>
  <si>
    <t>Cumulative Cash Flow (exclude debt payback)</t>
  </si>
  <si>
    <t>&lt;&lt;&lt; Calculates GP Cash flow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</si>
</sst>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[$$]#,##0;\([$$]#,##0\);&quot;–&quot;;@"/>
    <numFmt numFmtId="165" formatCode="0.0\x;\(0.0\x\);&quot;–&quot;"/>
    <numFmt numFmtId="166" formatCode="#,##0;\(#,##0\);&quot;–&quot;;@"/>
    <numFmt numFmtId="167" formatCode="_(#,##0.0%_);\(#,##0.0%\);_(&quot;–&quot;_)_%;_(@_)_%"/>
    <numFmt numFmtId="168" formatCode="#,##0.0%;\(#,##0.0%\);&quot;–&quot;;@"/>
    <numFmt numFmtId="169" formatCode="#,##0%;\(#,##0%\);&quot;–&quot;;@"/>
    <numFmt numFmtId="173" formatCode="0.0%"/>
    <numFmt numFmtId="175" formatCode="0.00\x;\(0.00\x\);&quot;–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800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rgb="FF80008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44" fontId="1" fillId="0" borderId="0" applyFont="0" applyFill="0" applyBorder="0" applyAlignment="0" applyProtection="0"/>
    <xf numFmtId="0" fontId="15" fillId="5" borderId="0" applyNumberFormat="0" applyBorder="0" applyAlignment="0" applyProtection="0"/>
  </cellStyleXfs>
  <cellXfs count="104">
    <xf numFmtId="0" fontId="0" fillId="0" borderId="0" xfId="0"/>
    <xf numFmtId="0" fontId="0" fillId="3" borderId="0" xfId="0" applyFill="1"/>
    <xf numFmtId="0" fontId="6" fillId="3" borderId="0" xfId="0" applyFont="1" applyFill="1"/>
    <xf numFmtId="164" fontId="3" fillId="2" borderId="1" xfId="1" applyNumberFormat="1" applyFont="1"/>
    <xf numFmtId="9" fontId="0" fillId="2" borderId="1" xfId="1" applyNumberFormat="1" applyFont="1"/>
    <xf numFmtId="9" fontId="3" fillId="2" borderId="1" xfId="1" applyNumberFormat="1" applyFont="1"/>
    <xf numFmtId="165" fontId="3" fillId="2" borderId="1" xfId="1" applyNumberFormat="1" applyFont="1" applyAlignment="1">
      <alignment horizontal="right"/>
    </xf>
    <xf numFmtId="0" fontId="0" fillId="0" borderId="2" xfId="0" applyBorder="1"/>
    <xf numFmtId="164" fontId="0" fillId="0" borderId="0" xfId="0" applyNumberFormat="1"/>
    <xf numFmtId="0" fontId="7" fillId="0" borderId="0" xfId="0" applyFont="1" applyAlignment="1">
      <alignment horizontal="left" indent="1"/>
    </xf>
    <xf numFmtId="166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7" fillId="0" borderId="0" xfId="0" applyFont="1"/>
    <xf numFmtId="9" fontId="0" fillId="0" borderId="0" xfId="0" applyNumberFormat="1"/>
    <xf numFmtId="0" fontId="0" fillId="0" borderId="2" xfId="0" applyBorder="1" applyAlignment="1">
      <alignment horizontal="right"/>
    </xf>
    <xf numFmtId="9" fontId="4" fillId="0" borderId="0" xfId="0" applyNumberFormat="1" applyFont="1"/>
    <xf numFmtId="0" fontId="7" fillId="0" borderId="2" xfId="0" applyFont="1" applyBorder="1"/>
    <xf numFmtId="9" fontId="4" fillId="0" borderId="2" xfId="0" applyNumberFormat="1" applyFont="1" applyBorder="1"/>
    <xf numFmtId="164" fontId="0" fillId="0" borderId="2" xfId="0" applyNumberFormat="1" applyBorder="1"/>
    <xf numFmtId="0" fontId="2" fillId="0" borderId="2" xfId="0" applyFont="1" applyBorder="1"/>
    <xf numFmtId="166" fontId="3" fillId="2" borderId="1" xfId="1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169" fontId="3" fillId="2" borderId="1" xfId="1" applyNumberFormat="1" applyFont="1"/>
    <xf numFmtId="9" fontId="7" fillId="0" borderId="0" xfId="0" applyNumberFormat="1" applyFont="1"/>
    <xf numFmtId="0" fontId="8" fillId="0" borderId="0" xfId="0" applyFont="1"/>
    <xf numFmtId="0" fontId="2" fillId="0" borderId="0" xfId="0" applyFont="1" applyAlignment="1">
      <alignment horizontal="left"/>
    </xf>
    <xf numFmtId="9" fontId="2" fillId="0" borderId="0" xfId="0" applyNumberFormat="1" applyFont="1"/>
    <xf numFmtId="166" fontId="2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2" fillId="4" borderId="0" xfId="0" applyFont="1" applyFill="1"/>
    <xf numFmtId="164" fontId="0" fillId="4" borderId="0" xfId="0" applyNumberFormat="1" applyFill="1"/>
    <xf numFmtId="0" fontId="0" fillId="4" borderId="0" xfId="0" applyFill="1"/>
    <xf numFmtId="166" fontId="9" fillId="4" borderId="0" xfId="0" applyNumberFormat="1" applyFont="1" applyFill="1"/>
    <xf numFmtId="166" fontId="9" fillId="0" borderId="0" xfId="0" applyNumberFormat="1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/>
    <xf numFmtId="167" fontId="12" fillId="0" borderId="0" xfId="0" applyNumberFormat="1" applyFont="1"/>
    <xf numFmtId="0" fontId="2" fillId="0" borderId="3" xfId="0" applyFont="1" applyBorder="1"/>
    <xf numFmtId="164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left" indent="1"/>
    </xf>
    <xf numFmtId="165" fontId="0" fillId="0" borderId="7" xfId="0" applyNumberFormat="1" applyBorder="1"/>
    <xf numFmtId="0" fontId="0" fillId="0" borderId="8" xfId="0" applyBorder="1" applyAlignment="1">
      <alignment horizontal="left" indent="1"/>
    </xf>
    <xf numFmtId="165" fontId="0" fillId="0" borderId="2" xfId="0" applyNumberFormat="1" applyBorder="1"/>
    <xf numFmtId="165" fontId="0" fillId="0" borderId="9" xfId="0" applyNumberFormat="1" applyBorder="1"/>
    <xf numFmtId="167" fontId="0" fillId="0" borderId="7" xfId="0" applyNumberFormat="1" applyBorder="1"/>
    <xf numFmtId="167" fontId="0" fillId="0" borderId="2" xfId="0" applyNumberFormat="1" applyBorder="1"/>
    <xf numFmtId="167" fontId="0" fillId="0" borderId="9" xfId="0" applyNumberFormat="1" applyBorder="1"/>
    <xf numFmtId="168" fontId="3" fillId="2" borderId="1" xfId="1" applyNumberFormat="1" applyFont="1"/>
    <xf numFmtId="9" fontId="12" fillId="0" borderId="0" xfId="0" applyNumberFormat="1" applyFont="1"/>
    <xf numFmtId="0" fontId="7" fillId="0" borderId="0" xfId="0" applyFont="1" applyAlignment="1">
      <alignment horizontal="right"/>
    </xf>
    <xf numFmtId="9" fontId="8" fillId="0" borderId="0" xfId="0" applyNumberFormat="1" applyFont="1"/>
    <xf numFmtId="167" fontId="0" fillId="0" borderId="0" xfId="0" applyNumberFormat="1"/>
    <xf numFmtId="165" fontId="0" fillId="0" borderId="0" xfId="0" applyNumberFormat="1"/>
    <xf numFmtId="164" fontId="3" fillId="2" borderId="1" xfId="1" applyNumberFormat="1" applyFont="1" applyAlignment="1">
      <alignment horizontal="right"/>
    </xf>
    <xf numFmtId="166" fontId="13" fillId="0" borderId="3" xfId="1" applyNumberFormat="1" applyFont="1" applyFill="1" applyBorder="1"/>
    <xf numFmtId="166" fontId="13" fillId="0" borderId="4" xfId="1" applyNumberFormat="1" applyFont="1" applyFill="1" applyBorder="1"/>
    <xf numFmtId="166" fontId="13" fillId="0" borderId="5" xfId="1" applyNumberFormat="1" applyFont="1" applyFill="1" applyBorder="1"/>
    <xf numFmtId="168" fontId="13" fillId="0" borderId="8" xfId="1" applyNumberFormat="1" applyFont="1" applyFill="1" applyBorder="1"/>
    <xf numFmtId="168" fontId="13" fillId="0" borderId="2" xfId="1" applyNumberFormat="1" applyFont="1" applyFill="1" applyBorder="1"/>
    <xf numFmtId="168" fontId="13" fillId="0" borderId="9" xfId="1" applyNumberFormat="1" applyFont="1" applyFill="1" applyBorder="1"/>
    <xf numFmtId="166" fontId="0" fillId="0" borderId="0" xfId="0" applyNumberFormat="1" applyAlignment="1">
      <alignment horizontal="right"/>
    </xf>
    <xf numFmtId="0" fontId="14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left" indent="2"/>
    </xf>
    <xf numFmtId="167" fontId="7" fillId="0" borderId="0" xfId="0" applyNumberFormat="1" applyFont="1" applyAlignment="1">
      <alignment horizontal="right"/>
    </xf>
    <xf numFmtId="166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left" indent="1"/>
    </xf>
    <xf numFmtId="164" fontId="0" fillId="6" borderId="0" xfId="0" applyNumberFormat="1" applyFill="1"/>
    <xf numFmtId="0" fontId="2" fillId="7" borderId="0" xfId="0" applyFont="1" applyFill="1" applyAlignment="1">
      <alignment horizontal="left"/>
    </xf>
    <xf numFmtId="9" fontId="0" fillId="7" borderId="0" xfId="0" applyNumberFormat="1" applyFill="1"/>
    <xf numFmtId="166" fontId="0" fillId="7" borderId="0" xfId="0" applyNumberFormat="1" applyFill="1"/>
    <xf numFmtId="0" fontId="11" fillId="7" borderId="0" xfId="0" applyFont="1" applyFill="1"/>
    <xf numFmtId="0" fontId="0" fillId="7" borderId="0" xfId="0" applyFill="1"/>
    <xf numFmtId="166" fontId="5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4" fontId="0" fillId="0" borderId="0" xfId="0" applyNumberFormat="1" applyFont="1"/>
    <xf numFmtId="167" fontId="5" fillId="0" borderId="0" xfId="0" applyNumberFormat="1" applyFont="1"/>
    <xf numFmtId="0" fontId="0" fillId="0" borderId="0" xfId="0" applyFont="1"/>
    <xf numFmtId="0" fontId="2" fillId="8" borderId="0" xfId="0" applyFont="1" applyFill="1" applyAlignment="1">
      <alignment horizontal="left"/>
    </xf>
    <xf numFmtId="164" fontId="0" fillId="8" borderId="0" xfId="0" applyNumberFormat="1" applyFill="1"/>
    <xf numFmtId="167" fontId="12" fillId="8" borderId="0" xfId="0" applyNumberFormat="1" applyFont="1" applyFill="1"/>
    <xf numFmtId="166" fontId="0" fillId="8" borderId="0" xfId="0" applyNumberFormat="1" applyFill="1"/>
    <xf numFmtId="164" fontId="3" fillId="2" borderId="1" xfId="2" applyNumberFormat="1" applyFont="1" applyFill="1" applyBorder="1"/>
    <xf numFmtId="175" fontId="3" fillId="2" borderId="1" xfId="1" applyNumberFormat="1" applyFont="1" applyAlignment="1">
      <alignment horizontal="right"/>
    </xf>
    <xf numFmtId="0" fontId="0" fillId="0" borderId="0" xfId="0" applyAlignment="1">
      <alignment horizontal="left" indent="2"/>
    </xf>
    <xf numFmtId="167" fontId="0" fillId="0" borderId="0" xfId="0" applyNumberFormat="1" applyAlignment="1">
      <alignment horizontal="right"/>
    </xf>
    <xf numFmtId="0" fontId="16" fillId="0" borderId="0" xfId="0" applyFont="1"/>
    <xf numFmtId="173" fontId="5" fillId="0" borderId="0" xfId="0" applyNumberFormat="1" applyFont="1"/>
    <xf numFmtId="9" fontId="13" fillId="0" borderId="0" xfId="0" applyNumberFormat="1" applyFont="1"/>
    <xf numFmtId="9" fontId="15" fillId="5" borderId="1" xfId="3" applyNumberFormat="1" applyBorder="1"/>
    <xf numFmtId="166" fontId="17" fillId="0" borderId="0" xfId="0" applyNumberFormat="1" applyFont="1" applyAlignment="1">
      <alignment horizontal="right"/>
    </xf>
    <xf numFmtId="167" fontId="13" fillId="0" borderId="0" xfId="0" applyNumberFormat="1" applyFont="1" applyAlignment="1">
      <alignment horizontal="right"/>
    </xf>
    <xf numFmtId="0" fontId="2" fillId="0" borderId="0" xfId="0" applyFont="1" applyFill="1"/>
    <xf numFmtId="164" fontId="0" fillId="0" borderId="0" xfId="0" applyNumberFormat="1" applyFill="1"/>
    <xf numFmtId="0" fontId="0" fillId="0" borderId="0" xfId="0" applyFill="1"/>
    <xf numFmtId="166" fontId="9" fillId="0" borderId="0" xfId="0" applyNumberFormat="1" applyFont="1" applyFill="1"/>
  </cellXfs>
  <cellStyles count="4">
    <cellStyle name="Bad" xfId="3" builtinId="27"/>
    <cellStyle name="Currency" xfId="2" builtinId="4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B08E-5328-49F6-B610-DA13401DFEB0}">
  <dimension ref="B2:P162"/>
  <sheetViews>
    <sheetView showGridLines="0" tabSelected="1" zoomScale="130" zoomScaleNormal="130" workbookViewId="0">
      <selection activeCell="E142" sqref="E140:E142"/>
    </sheetView>
  </sheetViews>
  <sheetFormatPr defaultColWidth="8.796875" defaultRowHeight="14.25" outlineLevelRow="1" x14ac:dyDescent="0.45"/>
  <cols>
    <col min="1" max="1" width="3.6640625" customWidth="1"/>
    <col min="2" max="2" width="60.6640625" customWidth="1"/>
    <col min="3" max="14" width="16.59765625" customWidth="1"/>
  </cols>
  <sheetData>
    <row r="2" spans="2:12" x14ac:dyDescent="0.45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spans="2:12" x14ac:dyDescent="0.45">
      <c r="B4" t="s">
        <v>80</v>
      </c>
      <c r="C4" s="21">
        <v>1</v>
      </c>
    </row>
    <row r="5" spans="2:12" x14ac:dyDescent="0.45">
      <c r="B5" t="s">
        <v>1</v>
      </c>
      <c r="C5" s="3">
        <v>13500000</v>
      </c>
    </row>
    <row r="6" spans="2:12" x14ac:dyDescent="0.45">
      <c r="B6" t="s">
        <v>2</v>
      </c>
      <c r="C6" s="3">
        <v>10000000</v>
      </c>
    </row>
    <row r="7" spans="2:12" x14ac:dyDescent="0.45">
      <c r="B7" t="s">
        <v>72</v>
      </c>
      <c r="C7" s="21">
        <v>5</v>
      </c>
    </row>
    <row r="8" spans="2:12" x14ac:dyDescent="0.45">
      <c r="B8" t="s">
        <v>60</v>
      </c>
      <c r="C8" s="53">
        <v>0.08</v>
      </c>
    </row>
    <row r="9" spans="2:12" x14ac:dyDescent="0.45">
      <c r="B9" t="s">
        <v>3</v>
      </c>
      <c r="C9" s="5">
        <v>0.05</v>
      </c>
    </row>
    <row r="10" spans="2:12" x14ac:dyDescent="0.45">
      <c r="B10" t="s">
        <v>22</v>
      </c>
      <c r="C10" s="5">
        <v>0.05</v>
      </c>
    </row>
    <row r="11" spans="2:12" x14ac:dyDescent="0.45">
      <c r="B11" t="s">
        <v>9</v>
      </c>
      <c r="C11" s="4">
        <f>100%-SUM(C9:C10)</f>
        <v>0.9</v>
      </c>
    </row>
    <row r="12" spans="2:12" x14ac:dyDescent="0.45">
      <c r="B12" t="s">
        <v>17</v>
      </c>
      <c r="C12" s="5">
        <v>0.3</v>
      </c>
    </row>
    <row r="13" spans="2:12" x14ac:dyDescent="0.45">
      <c r="B13" s="13" t="s">
        <v>31</v>
      </c>
      <c r="C13" s="25">
        <f>100%-C12</f>
        <v>0.7</v>
      </c>
    </row>
    <row r="14" spans="2:12" x14ac:dyDescent="0.45">
      <c r="B14" t="s">
        <v>21</v>
      </c>
      <c r="C14" s="97">
        <v>0.1</v>
      </c>
      <c r="D14" s="94" t="s">
        <v>96</v>
      </c>
    </row>
    <row r="15" spans="2:12" x14ac:dyDescent="0.45">
      <c r="B15" t="s">
        <v>18</v>
      </c>
      <c r="C15" s="3">
        <v>90000</v>
      </c>
    </row>
    <row r="16" spans="2:12" x14ac:dyDescent="0.45">
      <c r="B16" t="s">
        <v>83</v>
      </c>
      <c r="C16" s="21">
        <v>7</v>
      </c>
    </row>
    <row r="17" spans="2:9" x14ac:dyDescent="0.45">
      <c r="B17" t="s">
        <v>19</v>
      </c>
      <c r="C17" s="3">
        <v>0</v>
      </c>
    </row>
    <row r="18" spans="2:9" x14ac:dyDescent="0.45">
      <c r="B18" t="s">
        <v>23</v>
      </c>
      <c r="C18" s="21">
        <v>9</v>
      </c>
    </row>
    <row r="19" spans="2:9" x14ac:dyDescent="0.45">
      <c r="B19" t="s">
        <v>24</v>
      </c>
      <c r="C19" s="90">
        <v>28000000</v>
      </c>
    </row>
    <row r="21" spans="2:9" x14ac:dyDescent="0.45">
      <c r="C21" s="13" t="s">
        <v>71</v>
      </c>
      <c r="F21" s="13" t="s">
        <v>70</v>
      </c>
      <c r="I21" s="13" t="s">
        <v>81</v>
      </c>
    </row>
    <row r="22" spans="2:9" x14ac:dyDescent="0.45">
      <c r="B22" s="26" t="s">
        <v>95</v>
      </c>
      <c r="C22" s="6">
        <v>0</v>
      </c>
      <c r="D22" s="91">
        <v>0.5</v>
      </c>
      <c r="F22" s="6">
        <v>0</v>
      </c>
      <c r="G22" s="59">
        <f>$I$42*D22</f>
        <v>6075000</v>
      </c>
      <c r="I22" s="5">
        <v>0.1</v>
      </c>
    </row>
    <row r="23" spans="2:9" x14ac:dyDescent="0.45">
      <c r="B23" t="s">
        <v>20</v>
      </c>
      <c r="C23" s="91">
        <v>0.5</v>
      </c>
      <c r="D23" s="91">
        <v>1</v>
      </c>
      <c r="F23" s="59">
        <f>$I$42*C23</f>
        <v>6075000</v>
      </c>
      <c r="G23" s="59">
        <f>$I$42*D23</f>
        <v>12150000</v>
      </c>
      <c r="I23" s="5">
        <v>0.2</v>
      </c>
    </row>
    <row r="24" spans="2:9" x14ac:dyDescent="0.45">
      <c r="B24" t="s">
        <v>64</v>
      </c>
      <c r="C24" s="91">
        <v>1</v>
      </c>
      <c r="F24" s="59">
        <f>$I$42*C24</f>
        <v>12150000</v>
      </c>
      <c r="I24" s="5">
        <v>0.3</v>
      </c>
    </row>
    <row r="27" spans="2:9" x14ac:dyDescent="0.45">
      <c r="B27" s="26" t="s">
        <v>90</v>
      </c>
      <c r="C27" s="13" t="s">
        <v>71</v>
      </c>
      <c r="F27" s="13" t="s">
        <v>70</v>
      </c>
      <c r="I27" s="13" t="s">
        <v>82</v>
      </c>
    </row>
    <row r="28" spans="2:9" x14ac:dyDescent="0.45">
      <c r="B28" t="s">
        <v>20</v>
      </c>
      <c r="C28" s="6">
        <v>0</v>
      </c>
      <c r="D28" s="6">
        <v>1.4</v>
      </c>
      <c r="F28" s="6">
        <v>0</v>
      </c>
      <c r="G28" s="59">
        <f>$I$42*D28</f>
        <v>17010000</v>
      </c>
      <c r="I28" s="5">
        <v>0.1</v>
      </c>
    </row>
    <row r="29" spans="2:9" x14ac:dyDescent="0.45">
      <c r="B29" t="s">
        <v>64</v>
      </c>
      <c r="C29" s="6">
        <v>1.4</v>
      </c>
      <c r="D29" s="6">
        <v>2</v>
      </c>
      <c r="F29" s="59">
        <f>$I$42*C29</f>
        <v>17010000</v>
      </c>
      <c r="G29" s="59">
        <f>$I$42*D29</f>
        <v>24300000</v>
      </c>
      <c r="I29" s="5">
        <v>0.2</v>
      </c>
    </row>
    <row r="30" spans="2:9" x14ac:dyDescent="0.45">
      <c r="C30" s="6">
        <v>2</v>
      </c>
      <c r="F30" s="59">
        <f>$I$42*C30</f>
        <v>24300000</v>
      </c>
      <c r="I30" s="5">
        <v>0.3</v>
      </c>
    </row>
    <row r="37" spans="2:12" x14ac:dyDescent="0.45">
      <c r="B37" s="2" t="s">
        <v>4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9" spans="2:12" x14ac:dyDescent="0.45">
      <c r="B39" s="20" t="s">
        <v>6</v>
      </c>
      <c r="C39" s="7"/>
      <c r="E39" s="7" t="s">
        <v>13</v>
      </c>
      <c r="F39" s="7"/>
      <c r="G39" s="7"/>
      <c r="H39" s="15" t="s">
        <v>15</v>
      </c>
      <c r="I39" s="15" t="s">
        <v>16</v>
      </c>
    </row>
    <row r="40" spans="2:12" x14ac:dyDescent="0.45">
      <c r="B40" t="s">
        <v>12</v>
      </c>
      <c r="C40" s="10">
        <f>C43</f>
        <v>13500000</v>
      </c>
      <c r="E40" s="13" t="str">
        <f>B9</f>
        <v>GP 1 Contribution</v>
      </c>
      <c r="H40" s="16">
        <f>C9</f>
        <v>0.05</v>
      </c>
      <c r="I40" s="8">
        <f>H40*$I$43</f>
        <v>675000</v>
      </c>
    </row>
    <row r="41" spans="2:12" x14ac:dyDescent="0.45">
      <c r="B41" s="9"/>
      <c r="C41" s="14"/>
      <c r="E41" s="13" t="str">
        <f>B10</f>
        <v>GP 2 Contribution</v>
      </c>
      <c r="H41" s="16">
        <f>C10</f>
        <v>0.05</v>
      </c>
      <c r="I41" s="8">
        <f t="shared" ref="I41:I42" si="0">H41*$I$43</f>
        <v>675000</v>
      </c>
    </row>
    <row r="42" spans="2:12" x14ac:dyDescent="0.45">
      <c r="B42" s="7"/>
      <c r="C42" s="7"/>
      <c r="E42" s="17" t="str">
        <f>B11</f>
        <v>LP Contribution</v>
      </c>
      <c r="F42" s="7"/>
      <c r="G42" s="7"/>
      <c r="H42" s="18">
        <f>C11</f>
        <v>0.9</v>
      </c>
      <c r="I42" s="19">
        <f t="shared" si="0"/>
        <v>12150000</v>
      </c>
    </row>
    <row r="43" spans="2:12" x14ac:dyDescent="0.45">
      <c r="B43" s="11" t="s">
        <v>10</v>
      </c>
      <c r="C43" s="12">
        <f>C50</f>
        <v>13500000</v>
      </c>
      <c r="E43" s="11" t="s">
        <v>14</v>
      </c>
      <c r="F43" s="11"/>
      <c r="G43" s="11"/>
      <c r="H43" s="11"/>
      <c r="I43" s="12">
        <f>C43</f>
        <v>13500000</v>
      </c>
    </row>
    <row r="45" spans="2:12" s="11" customFormat="1" x14ac:dyDescent="0.45"/>
    <row r="47" spans="2:12" x14ac:dyDescent="0.45">
      <c r="B47" s="20" t="s">
        <v>7</v>
      </c>
      <c r="C47" s="7"/>
    </row>
    <row r="48" spans="2:12" x14ac:dyDescent="0.45">
      <c r="B48" t="s">
        <v>8</v>
      </c>
      <c r="C48" s="8">
        <f>C5</f>
        <v>13500000</v>
      </c>
    </row>
    <row r="49" spans="2:16" x14ac:dyDescent="0.45">
      <c r="B49" s="7"/>
      <c r="C49" s="7"/>
    </row>
    <row r="50" spans="2:16" s="11" customFormat="1" x14ac:dyDescent="0.45">
      <c r="B50" s="11" t="s">
        <v>11</v>
      </c>
      <c r="C50" s="12">
        <f>SUM(C48:C48)</f>
        <v>13500000</v>
      </c>
    </row>
    <row r="56" spans="2:16" x14ac:dyDescent="0.45">
      <c r="B56" s="2" t="s">
        <v>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8" spans="2:16" s="11" customFormat="1" x14ac:dyDescent="0.45">
      <c r="B58" s="11" t="s">
        <v>25</v>
      </c>
      <c r="D58" s="20">
        <v>0</v>
      </c>
      <c r="E58" s="20">
        <f>D58+1</f>
        <v>1</v>
      </c>
      <c r="F58" s="20">
        <f t="shared" ref="F58:N58" si="1">E58+1</f>
        <v>2</v>
      </c>
      <c r="G58" s="20">
        <f t="shared" si="1"/>
        <v>3</v>
      </c>
      <c r="H58" s="20">
        <f t="shared" si="1"/>
        <v>4</v>
      </c>
      <c r="I58" s="20">
        <f t="shared" si="1"/>
        <v>5</v>
      </c>
      <c r="J58" s="20">
        <f t="shared" si="1"/>
        <v>6</v>
      </c>
      <c r="K58" s="20">
        <f t="shared" si="1"/>
        <v>7</v>
      </c>
      <c r="L58" s="20">
        <f t="shared" si="1"/>
        <v>8</v>
      </c>
      <c r="M58" s="20">
        <f t="shared" si="1"/>
        <v>9</v>
      </c>
      <c r="N58" s="20">
        <f t="shared" si="1"/>
        <v>10</v>
      </c>
    </row>
    <row r="60" spans="2:16" x14ac:dyDescent="0.45">
      <c r="B60" t="s">
        <v>30</v>
      </c>
      <c r="E60" s="24">
        <v>0.08</v>
      </c>
      <c r="F60" s="24">
        <v>0.12</v>
      </c>
      <c r="G60" s="24">
        <v>0.14000000000000001</v>
      </c>
      <c r="H60" s="24">
        <v>0.14000000000000001</v>
      </c>
      <c r="I60" s="24">
        <v>0.14000000000000001</v>
      </c>
      <c r="J60" s="24">
        <v>0.14000000000000001</v>
      </c>
      <c r="K60" s="24">
        <v>0.14000000000000001</v>
      </c>
      <c r="L60" s="24">
        <v>0.14000000000000001</v>
      </c>
      <c r="M60" s="24">
        <v>0.14000000000000001</v>
      </c>
      <c r="N60" s="24">
        <v>0.14000000000000001</v>
      </c>
    </row>
    <row r="62" spans="2:16" s="13" customFormat="1" x14ac:dyDescent="0.45">
      <c r="B62" s="13" t="s">
        <v>73</v>
      </c>
      <c r="E62" s="60">
        <f>IF(AND(E58&gt;=$C$7,E58&lt;=$C$18),1,0)</f>
        <v>0</v>
      </c>
      <c r="F62" s="61">
        <f t="shared" ref="F62:N62" si="2">IF(AND(F58&gt;=$C$7,F58&lt;=$C$18),1,0)</f>
        <v>0</v>
      </c>
      <c r="G62" s="61">
        <f t="shared" si="2"/>
        <v>0</v>
      </c>
      <c r="H62" s="61">
        <f t="shared" si="2"/>
        <v>0</v>
      </c>
      <c r="I62" s="61">
        <f t="shared" si="2"/>
        <v>1</v>
      </c>
      <c r="J62" s="61">
        <f t="shared" si="2"/>
        <v>1</v>
      </c>
      <c r="K62" s="61">
        <f t="shared" si="2"/>
        <v>1</v>
      </c>
      <c r="L62" s="61">
        <f t="shared" si="2"/>
        <v>1</v>
      </c>
      <c r="M62" s="61">
        <f t="shared" si="2"/>
        <v>1</v>
      </c>
      <c r="N62" s="62">
        <f t="shared" si="2"/>
        <v>0</v>
      </c>
      <c r="P62" s="67" t="s">
        <v>75</v>
      </c>
    </row>
    <row r="63" spans="2:16" s="13" customFormat="1" x14ac:dyDescent="0.45">
      <c r="B63" s="13" t="s">
        <v>74</v>
      </c>
      <c r="E63" s="63">
        <f t="shared" ref="E63:N63" si="3">$C$8</f>
        <v>0.08</v>
      </c>
      <c r="F63" s="64">
        <f t="shared" si="3"/>
        <v>0.08</v>
      </c>
      <c r="G63" s="64">
        <f t="shared" si="3"/>
        <v>0.08</v>
      </c>
      <c r="H63" s="64">
        <f t="shared" si="3"/>
        <v>0.08</v>
      </c>
      <c r="I63" s="64">
        <f t="shared" si="3"/>
        <v>0.08</v>
      </c>
      <c r="J63" s="64">
        <f t="shared" si="3"/>
        <v>0.08</v>
      </c>
      <c r="K63" s="64">
        <f t="shared" si="3"/>
        <v>0.08</v>
      </c>
      <c r="L63" s="64">
        <f t="shared" si="3"/>
        <v>0.08</v>
      </c>
      <c r="M63" s="64">
        <f t="shared" si="3"/>
        <v>0.08</v>
      </c>
      <c r="N63" s="65">
        <f t="shared" si="3"/>
        <v>0.08</v>
      </c>
    </row>
    <row r="65" spans="2:14" x14ac:dyDescent="0.45">
      <c r="B65" s="78" t="s">
        <v>85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</row>
    <row r="66" spans="2:14" x14ac:dyDescent="0.45">
      <c r="B66" s="38"/>
      <c r="D66" s="55" t="s">
        <v>68</v>
      </c>
    </row>
    <row r="67" spans="2:14" ht="5" customHeight="1" x14ac:dyDescent="0.45">
      <c r="B67" s="38"/>
      <c r="D67" s="55"/>
    </row>
    <row r="68" spans="2:14" x14ac:dyDescent="0.45">
      <c r="B68" t="s">
        <v>58</v>
      </c>
      <c r="D68" s="8"/>
      <c r="E68" s="12">
        <f>IF(E$58&gt;$C$18,"",$C$40*E60)</f>
        <v>1080000</v>
      </c>
      <c r="F68" s="12">
        <f>IF(F$58&gt;$C18,"",$C$40*F60)</f>
        <v>1620000</v>
      </c>
      <c r="G68" s="12">
        <f>IF(G$58&gt;$C18,"",$C$40*G60)</f>
        <v>1890000.0000000002</v>
      </c>
      <c r="H68" s="12">
        <f>IF(H$58&gt;$C18,"",$C$40*H60)</f>
        <v>1890000.0000000002</v>
      </c>
      <c r="I68" s="12">
        <f>IF(I$58&gt;$C18,"",$C$40*I60)</f>
        <v>1890000.0000000002</v>
      </c>
      <c r="J68" s="12">
        <f>IF(J$58&gt;$C18,"",$C$40*J60)</f>
        <v>1890000.0000000002</v>
      </c>
      <c r="K68" s="12">
        <f>IF(K$58&gt;$C18,"",$C$40*K60)</f>
        <v>1890000.0000000002</v>
      </c>
      <c r="L68" s="12">
        <f>IF(L$58&gt;$C18,"",$C$40*L60)</f>
        <v>1890000.0000000002</v>
      </c>
      <c r="M68" s="12">
        <f>IF(M$58&gt;$C18,"",$C$40*M60)</f>
        <v>1890000.0000000002</v>
      </c>
      <c r="N68" s="12" t="str">
        <f>IF(N$58&gt;$C18,"",$C$40*N60)</f>
        <v/>
      </c>
    </row>
    <row r="69" spans="2:14" x14ac:dyDescent="0.45">
      <c r="B69" s="22" t="s">
        <v>59</v>
      </c>
      <c r="D69" s="8"/>
      <c r="E69" s="10">
        <f>IF(E$58&gt;$C18,"",-E62*E63*$C$6)</f>
        <v>0</v>
      </c>
      <c r="F69" s="10">
        <f>IF(F$58&gt;$C18,"",-F62*F63*$C$6)</f>
        <v>0</v>
      </c>
      <c r="G69" s="10">
        <f>IF(G$58&gt;$C18,"",-G62*G63*$C$6)</f>
        <v>0</v>
      </c>
      <c r="H69" s="10">
        <f>IF(H$58&gt;$C18,"",-H62*H63*$C$6)</f>
        <v>0</v>
      </c>
      <c r="I69" s="10">
        <f>IF(I$58&gt;$C18,"",-I62*I63*$C$6)</f>
        <v>-800000</v>
      </c>
      <c r="J69" s="10">
        <f>IF(J$58&gt;$C18,"",-J62*J63*$C$6)</f>
        <v>-800000</v>
      </c>
      <c r="K69" s="10">
        <f>IF(K$58&gt;$C18,"",-K62*K63*$C$6)</f>
        <v>-800000</v>
      </c>
      <c r="L69" s="10">
        <f>IF(L$58&gt;$C18,"",-L62*L63*$C$6)</f>
        <v>-800000</v>
      </c>
      <c r="M69" s="10">
        <f>IF(M$58&gt;$C18,"",-M62*M63*$C$6)</f>
        <v>-800000</v>
      </c>
      <c r="N69" s="10" t="str">
        <f>IF(N$58&gt;$C18,"",-N62*N63*$C$6)</f>
        <v/>
      </c>
    </row>
    <row r="70" spans="2:14" x14ac:dyDescent="0.45">
      <c r="B70" s="22" t="s">
        <v>43</v>
      </c>
      <c r="C70" s="8"/>
      <c r="E70" s="31">
        <f>IF(OR(E$58&gt;$C18,E$58&gt;$C$16),"",-$C$15)</f>
        <v>-90000</v>
      </c>
      <c r="F70" s="31">
        <f>IF(OR(F$58&gt;$C18,F$58&gt;$C$16),"",-$C$15)</f>
        <v>-90000</v>
      </c>
      <c r="G70" s="31">
        <f>IF(OR(G$58&gt;$C18,G$58&gt;$C$16),"",-$C$15)</f>
        <v>-90000</v>
      </c>
      <c r="H70" s="31">
        <f>IF(OR(H$58&gt;$C18,H$58&gt;$C$16),"",-$C$15)</f>
        <v>-90000</v>
      </c>
      <c r="I70" s="31">
        <f>IF(OR(I$58&gt;$C18,I$58&gt;$C$16),"",-$C$15)</f>
        <v>-90000</v>
      </c>
      <c r="J70" s="31">
        <f>IF(OR(J$58&gt;$C18,J$58&gt;$C$16),"",-$C$15)</f>
        <v>-90000</v>
      </c>
      <c r="K70" s="31">
        <f>IF(OR(K$58&gt;$C18,K$58&gt;$C$16),"",-$C$15)</f>
        <v>-90000</v>
      </c>
      <c r="L70" s="31" t="str">
        <f>IF(OR(L$58&gt;$C18,L$58&gt;$C$16),"",-$C$15)</f>
        <v/>
      </c>
      <c r="M70" s="31" t="str">
        <f>IF(OR(M$58&gt;$C18,M$58&gt;$C$16),"",-$C$15)</f>
        <v/>
      </c>
      <c r="N70" s="31" t="str">
        <f>IF(OR(N$58&gt;$C18,N$58&gt;$C$16),"",-$C$15)</f>
        <v/>
      </c>
    </row>
    <row r="71" spans="2:14" s="11" customFormat="1" x14ac:dyDescent="0.45">
      <c r="B71" s="26" t="s">
        <v>29</v>
      </c>
      <c r="D71" s="12"/>
      <c r="E71" s="12">
        <f>IF(E$58&gt;$C18,"",SUM(E68:E70))</f>
        <v>990000</v>
      </c>
      <c r="F71" s="12">
        <f>IF(F$58&gt;$C18,"",SUM(F68:F70))</f>
        <v>1530000</v>
      </c>
      <c r="G71" s="12">
        <f>IF(G$58&gt;$C18,"",SUM(G68:G70))</f>
        <v>1800000.0000000002</v>
      </c>
      <c r="H71" s="12">
        <f>IF(H$58&gt;$C18,"",SUM(H68:H70))</f>
        <v>1800000.0000000002</v>
      </c>
      <c r="I71" s="12">
        <f>IF(I$58&gt;$C18,"",SUM(I68:I70))</f>
        <v>1000000.0000000002</v>
      </c>
      <c r="J71" s="12">
        <f>IF(J$58&gt;$C18,"",SUM(J68:J70))</f>
        <v>1000000.0000000002</v>
      </c>
      <c r="K71" s="12">
        <f>IF(K$58&gt;$C18,"",SUM(K68:K70))</f>
        <v>1000000.0000000002</v>
      </c>
      <c r="L71" s="12">
        <f>IF(L$58&gt;$C18,"",SUM(L68:L70))</f>
        <v>1090000.0000000002</v>
      </c>
      <c r="M71" s="12">
        <f>IF(M$58&gt;$C18,"",SUM(M68:M70))</f>
        <v>1090000.0000000002</v>
      </c>
      <c r="N71" s="12" t="str">
        <f>IF(N$58&gt;$C18,"",SUM(N68:N70))</f>
        <v/>
      </c>
    </row>
    <row r="72" spans="2:14" x14ac:dyDescent="0.45">
      <c r="B72" s="22" t="s">
        <v>26</v>
      </c>
      <c r="D72" s="54">
        <f>H40</f>
        <v>0.05</v>
      </c>
      <c r="E72" s="10">
        <f>IF(E$58&gt;$C$18,"",E$71*$D72)</f>
        <v>49500</v>
      </c>
      <c r="F72" s="10">
        <f>IF(F$58&gt;$C$18,"",F$71*$D72)</f>
        <v>76500</v>
      </c>
      <c r="G72" s="10">
        <f>IF(G$58&gt;$C$18,"",G$71*$D72)</f>
        <v>90000.000000000015</v>
      </c>
      <c r="H72" s="10">
        <f>IF(H$58&gt;$C$18,"",H$71*$D72)</f>
        <v>90000.000000000015</v>
      </c>
      <c r="I72" s="10">
        <f>IF(I$58&gt;$C$18,"",I$71*$D72)</f>
        <v>50000.000000000015</v>
      </c>
      <c r="J72" s="10">
        <f>IF(J$58&gt;$C$18,"",J$71*$D72)</f>
        <v>50000.000000000015</v>
      </c>
      <c r="K72" s="10">
        <f>IF(K$58&gt;$C$18,"",K$71*$D72)</f>
        <v>50000.000000000015</v>
      </c>
      <c r="L72" s="10">
        <f>IF(L$58&gt;$C$18,"",L$71*$D72)</f>
        <v>54500.000000000015</v>
      </c>
      <c r="M72" s="10">
        <f>IF(M$58&gt;$C$18,"",M$71*$D72)</f>
        <v>54500.000000000015</v>
      </c>
      <c r="N72" s="10" t="str">
        <f>IF(N$58&gt;$C$18,"",N$71*$D72)</f>
        <v/>
      </c>
    </row>
    <row r="73" spans="2:14" x14ac:dyDescent="0.45">
      <c r="B73" s="22" t="s">
        <v>27</v>
      </c>
      <c r="D73" s="54">
        <f>H41</f>
        <v>0.05</v>
      </c>
      <c r="E73" s="10">
        <f>IF(E$58&gt;$C$18,"",E$71*$D73)</f>
        <v>49500</v>
      </c>
      <c r="F73" s="10">
        <f>IF(F$58&gt;$C$18,"",F$71*$D73)</f>
        <v>76500</v>
      </c>
      <c r="G73" s="10">
        <f>IF(G$58&gt;$C$18,"",G$71*$D73)</f>
        <v>90000.000000000015</v>
      </c>
      <c r="H73" s="10">
        <f>IF(H$58&gt;$C$18,"",H$71*$D73)</f>
        <v>90000.000000000015</v>
      </c>
      <c r="I73" s="10">
        <f>IF(I$58&gt;$C$18,"",I$71*$D73)</f>
        <v>50000.000000000015</v>
      </c>
      <c r="J73" s="10">
        <f>IF(J$58&gt;$C$18,"",J$71*$D73)</f>
        <v>50000.000000000015</v>
      </c>
      <c r="K73" s="10">
        <f>IF(K$58&gt;$C$18,"",K$71*$D73)</f>
        <v>50000.000000000015</v>
      </c>
      <c r="L73" s="10">
        <f>IF(L$58&gt;$C$18,"",L$71*$D73)</f>
        <v>54500.000000000015</v>
      </c>
      <c r="M73" s="10">
        <f>IF(M$58&gt;$C$18,"",M$71*$D73)</f>
        <v>54500.000000000015</v>
      </c>
      <c r="N73" s="10" t="str">
        <f>IF(N$58&gt;$C$18,"",N$71*$D73)</f>
        <v/>
      </c>
    </row>
    <row r="74" spans="2:14" x14ac:dyDescent="0.45">
      <c r="B74" s="22" t="s">
        <v>28</v>
      </c>
      <c r="D74" s="54">
        <f>H42</f>
        <v>0.9</v>
      </c>
      <c r="E74" s="10">
        <f>IF(E$58&gt;$C$18,"",E$71*$D74)</f>
        <v>891000</v>
      </c>
      <c r="F74" s="10">
        <f>IF(F$58&gt;$C$18,"",F$71*$D74)</f>
        <v>1377000</v>
      </c>
      <c r="G74" s="10">
        <f>IF(G$58&gt;$C$18,"",G$71*$D74)</f>
        <v>1620000.0000000002</v>
      </c>
      <c r="H74" s="10">
        <f>IF(H$58&gt;$C$18,"",H$71*$D74)</f>
        <v>1620000.0000000002</v>
      </c>
      <c r="I74" s="10">
        <f>IF(I$58&gt;$C$18,"",I$71*$D74)</f>
        <v>900000.00000000023</v>
      </c>
      <c r="J74" s="10">
        <f>IF(J$58&gt;$C$18,"",J$71*$D74)</f>
        <v>900000.00000000023</v>
      </c>
      <c r="K74" s="10">
        <f>IF(K$58&gt;$C$18,"",K$71*$D74)</f>
        <v>900000.00000000023</v>
      </c>
      <c r="L74" s="10">
        <f>IF(L$58&gt;$C$18,"",L$71*$D74)</f>
        <v>981000.00000000023</v>
      </c>
      <c r="M74" s="10">
        <f>IF(M$58&gt;$C$18,"",M$71*$D74)</f>
        <v>981000.00000000023</v>
      </c>
      <c r="N74" s="10" t="str">
        <f>IF(N$58&gt;$C$18,"",N$71*$D74)</f>
        <v/>
      </c>
    </row>
    <row r="75" spans="2:14" x14ac:dyDescent="0.45">
      <c r="B75" s="23"/>
      <c r="D75" s="25"/>
    </row>
    <row r="76" spans="2:14" s="11" customFormat="1" x14ac:dyDescent="0.45">
      <c r="B76" s="27" t="s">
        <v>34</v>
      </c>
      <c r="D76" s="56"/>
      <c r="E76" s="29">
        <f ca="1">IF($C$4=0,0,IF(E$58&gt;$C$18,"",E74*E77))</f>
        <v>89100</v>
      </c>
      <c r="F76" s="29">
        <f t="shared" ref="F76:N76" ca="1" si="4">IF($C$4=0,0,IF(F$58&gt;$C$18,"",F74*F77))</f>
        <v>137700</v>
      </c>
      <c r="G76" s="29">
        <f t="shared" ca="1" si="4"/>
        <v>162000.00000000003</v>
      </c>
      <c r="H76" s="29">
        <f t="shared" ca="1" si="4"/>
        <v>162000.00000000003</v>
      </c>
      <c r="I76" s="29">
        <f t="shared" ca="1" si="4"/>
        <v>90000.000000000029</v>
      </c>
      <c r="J76" s="29">
        <f t="shared" ca="1" si="4"/>
        <v>96786.064715972156</v>
      </c>
      <c r="K76" s="29">
        <f t="shared" ca="1" si="4"/>
        <v>105760.25651065452</v>
      </c>
      <c r="L76" s="29">
        <f t="shared" ca="1" si="4"/>
        <v>123716.17249041521</v>
      </c>
      <c r="M76" s="29">
        <f t="shared" ca="1" si="4"/>
        <v>130511.12308568828</v>
      </c>
      <c r="N76" s="29" t="str">
        <f t="shared" si="4"/>
        <v/>
      </c>
    </row>
    <row r="77" spans="2:14" x14ac:dyDescent="0.45">
      <c r="B77" s="22" t="s">
        <v>35</v>
      </c>
      <c r="C77" s="96" t="s">
        <v>97</v>
      </c>
      <c r="D77" s="54"/>
      <c r="E77" s="95">
        <f ca="1">IF(E$58&gt;$C$18,"",E86)</f>
        <v>0.1</v>
      </c>
      <c r="F77" s="95">
        <f t="shared" ref="F77:N77" ca="1" si="5">IF(F$58&gt;$C$18,"",F86)</f>
        <v>0.1</v>
      </c>
      <c r="G77" s="95">
        <f ca="1">IF(G$58&gt;$C$18,"",G86)</f>
        <v>0.1</v>
      </c>
      <c r="H77" s="95">
        <f t="shared" ca="1" si="5"/>
        <v>0.1</v>
      </c>
      <c r="I77" s="95">
        <f ca="1">IF(I$58&gt;$C$18,"",I86)</f>
        <v>0.1</v>
      </c>
      <c r="J77" s="95">
        <f t="shared" ca="1" si="5"/>
        <v>0.1075400719066357</v>
      </c>
      <c r="K77" s="95">
        <f t="shared" ca="1" si="5"/>
        <v>0.11751139612294943</v>
      </c>
      <c r="L77" s="95">
        <f t="shared" ca="1" si="5"/>
        <v>0.12611230631031109</v>
      </c>
      <c r="M77" s="95">
        <f t="shared" ca="1" si="5"/>
        <v>0.13303886145330096</v>
      </c>
      <c r="N77" s="95" t="str">
        <f t="shared" si="5"/>
        <v/>
      </c>
    </row>
    <row r="78" spans="2:14" x14ac:dyDescent="0.45">
      <c r="B78" s="22" t="s">
        <v>36</v>
      </c>
      <c r="D78" s="54">
        <f>C12</f>
        <v>0.3</v>
      </c>
      <c r="E78" s="10">
        <f ca="1">IF(E$58&gt;$C$18,"",E$76*$D78)</f>
        <v>26730</v>
      </c>
      <c r="F78" s="10">
        <f ca="1">IF(F$58&gt;$C$18,"",F$76*$D78)</f>
        <v>41310</v>
      </c>
      <c r="G78" s="10">
        <f ca="1">IF(G$58&gt;$C$18,"",G$76*$D78)</f>
        <v>48600.000000000007</v>
      </c>
      <c r="H78" s="10">
        <f ca="1">IF(H$58&gt;$C$18,"",H$76*$D78)</f>
        <v>48600.000000000007</v>
      </c>
      <c r="I78" s="10">
        <f ca="1">IF(I$58&gt;$C$18,"",I$76*$D78)</f>
        <v>27000.000000000007</v>
      </c>
      <c r="J78" s="10">
        <f ca="1">IF(J$58&gt;$C$18,"",J$76*$D78)</f>
        <v>29035.819414791647</v>
      </c>
      <c r="K78" s="10">
        <f ca="1">IF(K$58&gt;$C$18,"",K$76*$D78)</f>
        <v>31728.076953196356</v>
      </c>
      <c r="L78" s="10">
        <f ca="1">IF(L$58&gt;$C$18,"",L$76*$D78)</f>
        <v>37114.851747124558</v>
      </c>
      <c r="M78" s="10">
        <f ca="1">IF(M$58&gt;$C$18,"",M$76*$D78)</f>
        <v>39153.336925706484</v>
      </c>
      <c r="N78" s="10" t="str">
        <f>IF(N$58&gt;$C$18,"",N$76*$D78)</f>
        <v/>
      </c>
    </row>
    <row r="79" spans="2:14" x14ac:dyDescent="0.45">
      <c r="B79" s="22" t="s">
        <v>37</v>
      </c>
      <c r="D79" s="54">
        <f>C13</f>
        <v>0.7</v>
      </c>
      <c r="E79" s="10">
        <f ca="1">IF(E$58&gt;$C$18,"",E$76*$D79)</f>
        <v>62369.999999999993</v>
      </c>
      <c r="F79" s="10">
        <f ca="1">IF(F$58&gt;$C$18,"",F$76*$D79)</f>
        <v>96390</v>
      </c>
      <c r="G79" s="10">
        <f ca="1">IF(G$58&gt;$C$18,"",G$76*$D79)</f>
        <v>113400.00000000001</v>
      </c>
      <c r="H79" s="10">
        <f ca="1">IF(H$58&gt;$C$18,"",H$76*$D79)</f>
        <v>113400.00000000001</v>
      </c>
      <c r="I79" s="10">
        <f ca="1">IF(I$58&gt;$C$18,"",I$76*$D79)</f>
        <v>63000.000000000015</v>
      </c>
      <c r="J79" s="10">
        <f ca="1">IF(J$58&gt;$C$18,"",J$76*$D79)</f>
        <v>67750.245301180505</v>
      </c>
      <c r="K79" s="10">
        <f ca="1">IF(K$58&gt;$C$18,"",K$76*$D79)</f>
        <v>74032.179557458163</v>
      </c>
      <c r="L79" s="10">
        <f ca="1">IF(L$58&gt;$C$18,"",L$76*$D79)</f>
        <v>86601.320743290635</v>
      </c>
      <c r="M79" s="10">
        <f ca="1">IF(M$58&gt;$C$18,"",M$76*$D79)</f>
        <v>91357.786159981784</v>
      </c>
      <c r="N79" s="10" t="str">
        <f>IF(N$58&gt;$C$18,"",N$76*$D79)</f>
        <v/>
      </c>
    </row>
    <row r="80" spans="2:14" x14ac:dyDescent="0.45">
      <c r="B80" s="22"/>
      <c r="D80" s="54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2:14" hidden="1" outlineLevel="1" x14ac:dyDescent="0.45">
      <c r="B81" s="22" t="s">
        <v>93</v>
      </c>
      <c r="D81" s="54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2:14" hidden="1" outlineLevel="1" x14ac:dyDescent="0.45">
      <c r="B82" s="92" t="s">
        <v>76</v>
      </c>
      <c r="D82" s="54"/>
      <c r="E82" s="10">
        <f ca="1">IF(AND(E117&gt;$F$22,E117&lt;=$G$22),E117,$G$22)</f>
        <v>801900</v>
      </c>
      <c r="F82" s="10">
        <f t="shared" ref="F82:N82" ca="1" si="6">IF(AND(F117&gt;$F$22,F117&lt;=$G$22),F117,$G$22)</f>
        <v>2041200</v>
      </c>
      <c r="G82" s="10">
        <f t="shared" ca="1" si="6"/>
        <v>3499200</v>
      </c>
      <c r="H82" s="10">
        <f t="shared" ca="1" si="6"/>
        <v>4957200</v>
      </c>
      <c r="I82" s="10">
        <f t="shared" ca="1" si="6"/>
        <v>5767200</v>
      </c>
      <c r="J82" s="10">
        <f t="shared" ca="1" si="6"/>
        <v>6075000</v>
      </c>
      <c r="K82" s="10">
        <f t="shared" ca="1" si="6"/>
        <v>6075000</v>
      </c>
      <c r="L82" s="10">
        <f t="shared" ca="1" si="6"/>
        <v>6075000</v>
      </c>
      <c r="M82" s="10">
        <f t="shared" ca="1" si="6"/>
        <v>6075000</v>
      </c>
      <c r="N82" s="10">
        <f t="shared" si="6"/>
        <v>6075000</v>
      </c>
    </row>
    <row r="83" spans="2:14" hidden="1" outlineLevel="1" x14ac:dyDescent="0.45">
      <c r="B83" s="92" t="s">
        <v>77</v>
      </c>
      <c r="D83" s="54"/>
      <c r="E83" s="10">
        <f ca="1">IF(AND(E117&gt;$G$22,E117&lt;$G$23),E117-$F$23,IF(E117&gt;$F$24,$G$23-$F$23,0))</f>
        <v>0</v>
      </c>
      <c r="F83" s="10">
        <f t="shared" ref="F83:N83" ca="1" si="7">IF(AND(F117&gt;$G$22,F117&lt;$G$23),F117-$F$23,IF(F117&gt;$F$24,$G$23-$F$23,0))</f>
        <v>0</v>
      </c>
      <c r="G83" s="10">
        <f t="shared" ca="1" si="7"/>
        <v>0</v>
      </c>
      <c r="H83" s="10">
        <f t="shared" ca="1" si="7"/>
        <v>0</v>
      </c>
      <c r="I83" s="10">
        <f t="shared" ca="1" si="7"/>
        <v>0</v>
      </c>
      <c r="J83" s="10">
        <f t="shared" ca="1" si="7"/>
        <v>495413.93528402783</v>
      </c>
      <c r="K83" s="10">
        <f t="shared" ca="1" si="7"/>
        <v>1289653.6787733734</v>
      </c>
      <c r="L83" s="10">
        <f t="shared" ca="1" si="7"/>
        <v>2146937.5062829582</v>
      </c>
      <c r="M83" s="10">
        <f t="shared" ca="1" si="7"/>
        <v>2997426.3831972703</v>
      </c>
      <c r="N83" s="10">
        <f t="shared" si="7"/>
        <v>0</v>
      </c>
    </row>
    <row r="84" spans="2:14" hidden="1" outlineLevel="1" x14ac:dyDescent="0.45">
      <c r="B84" s="92" t="s">
        <v>78</v>
      </c>
      <c r="D84" s="54"/>
      <c r="E84" s="66">
        <f ca="1">IFERROR(IF(E117&gt;$F$24,E117-$F$24,0),"NA")</f>
        <v>0</v>
      </c>
      <c r="F84" s="66">
        <f t="shared" ref="F84:N84" ca="1" si="8">IFERROR(IF(F117&gt;$F$24,F117-$F$24,0),"NA")</f>
        <v>0</v>
      </c>
      <c r="G84" s="66">
        <f t="shared" ca="1" si="8"/>
        <v>0</v>
      </c>
      <c r="H84" s="66">
        <f t="shared" ca="1" si="8"/>
        <v>0</v>
      </c>
      <c r="I84" s="66">
        <f t="shared" ca="1" si="8"/>
        <v>0</v>
      </c>
      <c r="J84" s="66">
        <f t="shared" ca="1" si="8"/>
        <v>0</v>
      </c>
      <c r="K84" s="66">
        <f t="shared" ca="1" si="8"/>
        <v>0</v>
      </c>
      <c r="L84" s="66">
        <f t="shared" ca="1" si="8"/>
        <v>0</v>
      </c>
      <c r="M84" s="66">
        <f t="shared" ca="1" si="8"/>
        <v>0</v>
      </c>
      <c r="N84" s="66">
        <f t="shared" si="8"/>
        <v>0</v>
      </c>
    </row>
    <row r="85" spans="2:14" hidden="1" outlineLevel="1" x14ac:dyDescent="0.45">
      <c r="B85" s="22"/>
      <c r="D85" s="54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2:14" hidden="1" outlineLevel="1" x14ac:dyDescent="0.45">
      <c r="B86" s="22" t="s">
        <v>94</v>
      </c>
      <c r="D86" s="54"/>
      <c r="E86" s="93">
        <f ca="1">((E82*$I$22)+(E83*$I$23)+(E84*$I$24))/E117</f>
        <v>0.1</v>
      </c>
      <c r="F86" s="93">
        <f ca="1">((F82*$I$22)+(F83*$I$23)+(F84*$I$24))/F117</f>
        <v>0.1</v>
      </c>
      <c r="G86" s="93">
        <f ca="1">((G82*$I$22)+(G83*$I$23)+(G84*$I$24))/G117</f>
        <v>0.1</v>
      </c>
      <c r="H86" s="93">
        <f ca="1">((H82*$I$22)+(H83*$I$23)+(H84*$I$24))/H117</f>
        <v>0.1</v>
      </c>
      <c r="I86" s="93">
        <f ca="1">((I82*$I$22)+(I83*$I$23)+(I84*$I$24))/I117</f>
        <v>0.1</v>
      </c>
      <c r="J86" s="93">
        <f ca="1">((J82*$I$22)+(J83*$I$23)+(J84*$I$24))/J117</f>
        <v>0.1075400719066357</v>
      </c>
      <c r="K86" s="93">
        <f ca="1">((K82*$I$22)+(K83*$I$23)+(K84*$I$24))/K117</f>
        <v>0.11751139612294943</v>
      </c>
      <c r="L86" s="93">
        <f ca="1">((L82*$I$22)+(L83*$I$23)+(L84*$I$24))/L117</f>
        <v>0.12611230631031109</v>
      </c>
      <c r="M86" s="93">
        <f ca="1">((M82*$I$22)+(M83*$I$23)+(M84*$I$24))/M117</f>
        <v>0.13303886145330096</v>
      </c>
      <c r="N86" s="93" t="e">
        <f>((N82*$I$22)+(N83*$I$23)+(N84*$I$24))/N117</f>
        <v>#DIV/0!</v>
      </c>
    </row>
    <row r="87" spans="2:14" hidden="1" outlineLevel="1" x14ac:dyDescent="0.45">
      <c r="B87" s="22"/>
      <c r="D87" s="54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2:14" collapsed="1" x14ac:dyDescent="0.45">
      <c r="B88" s="37" t="s">
        <v>52</v>
      </c>
      <c r="E88" s="10">
        <f ca="1">E114</f>
        <v>801900</v>
      </c>
      <c r="F88" s="10">
        <f ca="1">F114</f>
        <v>2041200</v>
      </c>
      <c r="G88" s="10">
        <f ca="1">G114</f>
        <v>3499200</v>
      </c>
      <c r="H88" s="10">
        <f ca="1">H114</f>
        <v>4957200</v>
      </c>
      <c r="I88" s="10">
        <f ca="1">I114</f>
        <v>14767200</v>
      </c>
      <c r="J88" s="10">
        <f t="shared" ref="J88:N88" ca="1" si="9">J114</f>
        <v>15570413.935284028</v>
      </c>
      <c r="K88" s="10">
        <f t="shared" ca="1" si="9"/>
        <v>16364653.678773373</v>
      </c>
      <c r="L88" s="10">
        <f t="shared" ca="1" si="9"/>
        <v>17221937.506282959</v>
      </c>
      <c r="M88" s="10">
        <f t="shared" ca="1" si="9"/>
        <v>18072426.38319727</v>
      </c>
      <c r="N88" s="10" t="str">
        <f t="shared" si="9"/>
        <v/>
      </c>
    </row>
    <row r="89" spans="2:14" x14ac:dyDescent="0.45">
      <c r="B89" t="s">
        <v>32</v>
      </c>
      <c r="D89" s="39">
        <f>I40</f>
        <v>675000</v>
      </c>
    </row>
    <row r="90" spans="2:14" x14ac:dyDescent="0.45">
      <c r="B90" s="22" t="s">
        <v>63</v>
      </c>
      <c r="D90" s="39">
        <f>$C$6*$H$40</f>
        <v>500000</v>
      </c>
    </row>
    <row r="91" spans="2:14" x14ac:dyDescent="0.45">
      <c r="B91" t="s">
        <v>39</v>
      </c>
      <c r="C91" s="8"/>
      <c r="D91" s="10"/>
      <c r="E91" s="10">
        <f ca="1">IF(E$58&gt;$C$18,"",E72+E78)</f>
        <v>76230</v>
      </c>
      <c r="F91" s="10">
        <f ca="1">IF(F$58&gt;$C$18,"",F72+F78)</f>
        <v>117810</v>
      </c>
      <c r="G91" s="10">
        <f ca="1">IF(G$58&gt;$C$18,"",G72+G78)</f>
        <v>138600.00000000003</v>
      </c>
      <c r="H91" s="10">
        <f ca="1">IF(H$58&gt;$C$18,"",H72+H78)</f>
        <v>138600.00000000003</v>
      </c>
      <c r="I91" s="10">
        <f ca="1">IF(I$58&gt;$C$18,"",I72+I78)</f>
        <v>77000.000000000029</v>
      </c>
      <c r="J91" s="10">
        <f ca="1">IF(J$58&gt;$C$18,"",J72+J78)</f>
        <v>79035.819414791666</v>
      </c>
      <c r="K91" s="10">
        <f ca="1">IF(K$58&gt;$C$18,"",K72+K78)</f>
        <v>81728.076953196374</v>
      </c>
      <c r="L91" s="10">
        <f ca="1">IF(L$58&gt;$C$18,"",L72+L78)</f>
        <v>91614.851747124572</v>
      </c>
      <c r="M91" s="10">
        <f ca="1">IF(M$58&gt;$C$18,"",M72+M78)</f>
        <v>93653.336925706506</v>
      </c>
      <c r="N91" s="10" t="str">
        <f>IF(N$58&gt;$C$18,"",N72+N78)</f>
        <v/>
      </c>
    </row>
    <row r="92" spans="2:14" x14ac:dyDescent="0.45">
      <c r="B92" t="s">
        <v>44</v>
      </c>
      <c r="C92" s="8"/>
      <c r="E92" s="30">
        <f>IF(E$58&gt;$C$18,"",E102*-1)</f>
        <v>0</v>
      </c>
      <c r="F92" s="30">
        <f>IF(F$58&gt;$C$18,"",F102*-1)</f>
        <v>0</v>
      </c>
      <c r="G92" s="30">
        <f>IF(G$58&gt;$C$18,"",G102*-1)</f>
        <v>0</v>
      </c>
      <c r="H92" s="30">
        <f>IF(H$58&gt;$C$18,"",H102*-1)</f>
        <v>0</v>
      </c>
      <c r="I92" s="30">
        <f>IF(I$58&gt;$C$18,"",I102*-1)</f>
        <v>0</v>
      </c>
      <c r="J92" s="30">
        <f>IF(J$58&gt;$C$18,"",J102*-1)</f>
        <v>0</v>
      </c>
      <c r="K92" s="30">
        <f>IF(K$58&gt;$C$18,"",K102*-1)</f>
        <v>0</v>
      </c>
      <c r="L92" s="30">
        <f>IF(L$58&gt;$C$18,"",L102*-1)</f>
        <v>0</v>
      </c>
      <c r="M92" s="30">
        <f>IF(M$58&gt;$C$18,"",M102*-1)</f>
        <v>0</v>
      </c>
      <c r="N92" s="30" t="str">
        <f>IF(N$58&gt;$C$18,"",N102*-1)</f>
        <v/>
      </c>
    </row>
    <row r="93" spans="2:14" x14ac:dyDescent="0.45">
      <c r="B93" t="s">
        <v>41</v>
      </c>
      <c r="C93" s="8"/>
      <c r="E93" s="80">
        <f>IFERROR(IF(E$58&gt;$C$18,"",E70*-1),"")</f>
        <v>90000</v>
      </c>
      <c r="F93" s="80">
        <f>IFERROR(IF(F$58&gt;$C$18,"",F70*-1),"")</f>
        <v>90000</v>
      </c>
      <c r="G93" s="80">
        <f>IFERROR(IF(G$58&gt;$C$18,"",G70*-1),"")</f>
        <v>90000</v>
      </c>
      <c r="H93" s="80">
        <f>IFERROR(IF(H$58&gt;$C$18,"",H70*-1),"")</f>
        <v>90000</v>
      </c>
      <c r="I93" s="80">
        <f>IFERROR(IF(I$58&gt;$C$18,"",I70*-1),"")</f>
        <v>90000</v>
      </c>
      <c r="J93" s="80">
        <f>IFERROR(IF(J$58&gt;$C$18,"",J70*-1),"")</f>
        <v>90000</v>
      </c>
      <c r="K93" s="80">
        <f>IFERROR(IF(K$58&gt;$C$18,"",K70*-1),"")</f>
        <v>90000</v>
      </c>
      <c r="L93" s="80" t="str">
        <f>IFERROR(IF(L$58&gt;$C$18,"",L70*-1),"")</f>
        <v/>
      </c>
      <c r="M93" s="80" t="str">
        <f>IFERROR(IF(M$58&gt;$C$18,"",M70*-1),"")</f>
        <v/>
      </c>
      <c r="N93" s="80" t="str">
        <f>IFERROR(IF(N$58&gt;$C$18,"",N70*-1),"")</f>
        <v/>
      </c>
    </row>
    <row r="94" spans="2:14" x14ac:dyDescent="0.45">
      <c r="B94" t="s">
        <v>61</v>
      </c>
      <c r="C94" s="8"/>
      <c r="E94" s="30"/>
      <c r="F94" s="31" t="str">
        <f>IF(AND(E$62=0,F$62&gt;0),$D$90,"")</f>
        <v/>
      </c>
      <c r="G94" s="31" t="str">
        <f>IF(AND(F$62=0,G$62&gt;0),$D$90,"")</f>
        <v/>
      </c>
      <c r="H94" s="31" t="str">
        <f>IF(AND(G$62=0,H$62&gt;0),$D$90,"")</f>
        <v/>
      </c>
      <c r="I94" s="31">
        <f>IF(AND(H$62=0,I$62&gt;0),$D$90,"")</f>
        <v>500000</v>
      </c>
      <c r="J94" s="31" t="str">
        <f>IF(AND(I$62=0,J$62&gt;0),$D$90,"")</f>
        <v/>
      </c>
      <c r="K94" s="31" t="str">
        <f>IF(AND(J$62=0,K$62&gt;0),$D$90,"")</f>
        <v/>
      </c>
      <c r="L94" s="31" t="str">
        <f>IF(AND(K$62=0,L$62&gt;0),$D$90,"")</f>
        <v/>
      </c>
      <c r="M94" s="31" t="str">
        <f>IF(AND(L$62=0,M$62&gt;0),$D$90,"")</f>
        <v/>
      </c>
      <c r="N94" s="31" t="str">
        <f>IF(AND(M$62=0,N$62&gt;0),$D$90,"")</f>
        <v/>
      </c>
    </row>
    <row r="95" spans="2:14" x14ac:dyDescent="0.45">
      <c r="B95" s="32" t="s">
        <v>51</v>
      </c>
      <c r="C95" s="33"/>
      <c r="D95" s="34"/>
      <c r="E95" s="35">
        <f ca="1">IF(E$58&gt;$C$18,"",SUM(E91:E94))</f>
        <v>166230</v>
      </c>
      <c r="F95" s="35">
        <f ca="1">IF(F$58&gt;$C$18,"",SUM(F91:F94))</f>
        <v>207810</v>
      </c>
      <c r="G95" s="35">
        <f ca="1">IF(G$58&gt;$C$18,"",SUM(G91:G94))</f>
        <v>228600.00000000003</v>
      </c>
      <c r="H95" s="35">
        <f ca="1">IF(H$58&gt;$C$18,"",SUM(H91:H94))</f>
        <v>228600.00000000003</v>
      </c>
      <c r="I95" s="35">
        <f ca="1">IF(I$58&gt;$C$18,"",SUM(I91:I94))</f>
        <v>667000</v>
      </c>
      <c r="J95" s="35">
        <f ca="1">IF(J$58&gt;$C$18,"",SUM(J91:J94))</f>
        <v>169035.81941479165</v>
      </c>
      <c r="K95" s="35">
        <f ca="1">IF(K$58&gt;$C$18,"",SUM(K91:K94))</f>
        <v>171728.07695319637</v>
      </c>
      <c r="L95" s="35">
        <f ca="1">IF(L$58&gt;$C$18,"",SUM(L91:L94))</f>
        <v>91614.851747124572</v>
      </c>
      <c r="M95" s="35">
        <f ca="1">IF(M$58&gt;$C$18,"",SUM(M91:M94))</f>
        <v>93653.336925706506</v>
      </c>
      <c r="N95" s="35" t="str">
        <f>IF(N$58&gt;$C$18,"",SUM(N91:N94))</f>
        <v/>
      </c>
    </row>
    <row r="96" spans="2:14" x14ac:dyDescent="0.45">
      <c r="B96" s="32" t="s">
        <v>47</v>
      </c>
      <c r="C96" s="33"/>
      <c r="D96" s="34"/>
      <c r="E96" s="35">
        <f ca="1">IF(E$58&gt;$C$18,"",SUM($E$95:E95))</f>
        <v>166230</v>
      </c>
      <c r="F96" s="35">
        <f ca="1">IF(F$58&gt;$C$18,"",SUM($E$95:F95))</f>
        <v>374040</v>
      </c>
      <c r="G96" s="35">
        <f ca="1">IF(G$58&gt;$C$18,"",SUM($E$95:G95))</f>
        <v>602640</v>
      </c>
      <c r="H96" s="35">
        <f ca="1">IF(H$58&gt;$C$18,"",SUM($E$95:H95))</f>
        <v>831240</v>
      </c>
      <c r="I96" s="35">
        <f ca="1">IF(I$58&gt;$C$18,"",SUM($E$95:I95))</f>
        <v>1498240</v>
      </c>
      <c r="J96" s="35">
        <f ca="1">IF(J$58&gt;$C$18,"",SUM($E$95:J95))</f>
        <v>1667275.8194147917</v>
      </c>
      <c r="K96" s="35">
        <f ca="1">IF(K$58&gt;$C$18,"",SUM($E$95:K95))</f>
        <v>1839003.8963679881</v>
      </c>
      <c r="L96" s="35">
        <f ca="1">IF(L$58&gt;$C$18,"",SUM($E$95:L95))</f>
        <v>1930618.7481151125</v>
      </c>
      <c r="M96" s="35">
        <f ca="1">IF(M$58&gt;$C$18,"",SUM($E$95:M95))</f>
        <v>2024272.0850408191</v>
      </c>
      <c r="N96" s="35" t="str">
        <f>IF(N$58&gt;$C$18,"",SUM($E$95:N95))</f>
        <v/>
      </c>
    </row>
    <row r="97" spans="2:14" x14ac:dyDescent="0.45">
      <c r="C97" s="8"/>
    </row>
    <row r="98" spans="2:14" x14ac:dyDescent="0.45">
      <c r="B98" s="38" t="s">
        <v>45</v>
      </c>
      <c r="C98" s="8"/>
    </row>
    <row r="99" spans="2:14" x14ac:dyDescent="0.45">
      <c r="B99" t="s">
        <v>40</v>
      </c>
      <c r="C99" s="8"/>
      <c r="D99" s="39">
        <f>I41</f>
        <v>675000</v>
      </c>
    </row>
    <row r="100" spans="2:14" x14ac:dyDescent="0.45">
      <c r="B100" s="22" t="s">
        <v>63</v>
      </c>
      <c r="C100" s="8"/>
      <c r="D100" s="39">
        <f>$C$6*$H$41</f>
        <v>500000</v>
      </c>
    </row>
    <row r="101" spans="2:14" x14ac:dyDescent="0.45">
      <c r="B101" t="s">
        <v>39</v>
      </c>
      <c r="C101" s="8"/>
      <c r="D101" s="10"/>
      <c r="E101" s="10">
        <f ca="1">IF(E$58&gt;$C$18,"",E73+E79)</f>
        <v>111870</v>
      </c>
      <c r="F101" s="10">
        <f ca="1">IF(F$58&gt;$C$18,"",F73+F79)</f>
        <v>172890</v>
      </c>
      <c r="G101" s="10">
        <f ca="1">IF(G$58&gt;$C$18,"",G73+G79)</f>
        <v>203400.00000000003</v>
      </c>
      <c r="H101" s="10">
        <f ca="1">IF(H$58&gt;$C$18,"",H73+H79)</f>
        <v>203400.00000000003</v>
      </c>
      <c r="I101" s="10">
        <f ca="1">IF(I$58&gt;$C$18,"",I73+I79)</f>
        <v>113000.00000000003</v>
      </c>
      <c r="J101" s="10">
        <f ca="1">IF(J$58&gt;$C$18,"",J73+J79)</f>
        <v>117750.24530118052</v>
      </c>
      <c r="K101" s="10">
        <f ca="1">IF(K$58&gt;$C$18,"",K73+K79)</f>
        <v>124032.17955745818</v>
      </c>
      <c r="L101" s="10">
        <f ca="1">IF(L$58&gt;$C$18,"",L73+L79)</f>
        <v>141101.32074329065</v>
      </c>
      <c r="M101" s="10">
        <f ca="1">IF(M$58&gt;$C$18,"",M73+M79)</f>
        <v>145857.7861599818</v>
      </c>
      <c r="N101" s="10" t="str">
        <f>IF(N$58&gt;$C$18,"",N73+N79)</f>
        <v/>
      </c>
    </row>
    <row r="102" spans="2:14" x14ac:dyDescent="0.45">
      <c r="B102" t="s">
        <v>42</v>
      </c>
      <c r="C102" s="8"/>
      <c r="E102" s="31">
        <f>-$C$17</f>
        <v>0</v>
      </c>
      <c r="F102" s="31"/>
      <c r="G102" s="31"/>
      <c r="H102" s="31"/>
      <c r="I102" s="31"/>
      <c r="J102" s="31"/>
      <c r="K102" s="31"/>
      <c r="L102" s="31"/>
      <c r="M102" s="31"/>
      <c r="N102" s="31"/>
    </row>
    <row r="103" spans="2:14" x14ac:dyDescent="0.45">
      <c r="B103" t="s">
        <v>61</v>
      </c>
      <c r="C103" s="8"/>
      <c r="E103" s="31"/>
      <c r="F103" s="31" t="str">
        <f>IF(AND(E62=0,F62&gt;0),$D$100,"")</f>
        <v/>
      </c>
      <c r="G103" s="31" t="str">
        <f>IF(AND(F62=0,G62&gt;0),$D$100,"")</f>
        <v/>
      </c>
      <c r="H103" s="31" t="str">
        <f>IF(AND(G62=0,H62&gt;0),$D$100,"")</f>
        <v/>
      </c>
      <c r="I103" s="31">
        <f>IF(AND(H62=0,I62&gt;0),$D$100,"")</f>
        <v>500000</v>
      </c>
      <c r="J103" s="31" t="str">
        <f>IF(AND(I62=0,J62&gt;0),$D$100,"")</f>
        <v/>
      </c>
      <c r="K103" s="31" t="str">
        <f>IF(AND(J62=0,K62&gt;0),$D$100,"")</f>
        <v/>
      </c>
      <c r="L103" s="31" t="str">
        <f>IF(AND(K62=0,L62&gt;0),$D$100,"")</f>
        <v/>
      </c>
      <c r="M103" s="31" t="str">
        <f>IF(AND(L62=0,M62&gt;0),$D$100,"")</f>
        <v/>
      </c>
      <c r="N103" s="31" t="str">
        <f>IF(AND(M62=0,N62&gt;0),$D$100,"")</f>
        <v/>
      </c>
    </row>
    <row r="104" spans="2:14" x14ac:dyDescent="0.45">
      <c r="B104" s="32" t="s">
        <v>53</v>
      </c>
      <c r="C104" s="33"/>
      <c r="D104" s="34"/>
      <c r="E104" s="35">
        <f ca="1">IF(E$58&gt;$C$18,"",SUM(E101:E103))</f>
        <v>111870</v>
      </c>
      <c r="F104" s="35">
        <f ca="1">IF(F$58&gt;$C$18,"",SUM(F101:F103))</f>
        <v>172890</v>
      </c>
      <c r="G104" s="35">
        <f ca="1">IF(G$58&gt;$C$18,"",SUM(G101:G103))</f>
        <v>203400.00000000003</v>
      </c>
      <c r="H104" s="35">
        <f ca="1">IF(H$58&gt;$C$18,"",SUM(H101:H103))</f>
        <v>203400.00000000003</v>
      </c>
      <c r="I104" s="35">
        <f ca="1">IF(I$58&gt;$C$18,"",SUM(I101:I103))</f>
        <v>613000</v>
      </c>
      <c r="J104" s="35">
        <f ca="1">IF(J$58&gt;$C$18,"",SUM(J101:J103))</f>
        <v>117750.24530118052</v>
      </c>
      <c r="K104" s="35">
        <f ca="1">IF(K$58&gt;$C$18,"",SUM(K101:K103))</f>
        <v>124032.17955745818</v>
      </c>
      <c r="L104" s="35">
        <f ca="1">IF(L$58&gt;$C$18,"",SUM(L101:L103))</f>
        <v>141101.32074329065</v>
      </c>
      <c r="M104" s="35">
        <f ca="1">IF(M$58&gt;$C$18,"",SUM(M101:M103))</f>
        <v>145857.7861599818</v>
      </c>
      <c r="N104" s="35" t="str">
        <f>IF(N$58&gt;$C$18,"",SUM(N101:N103))</f>
        <v/>
      </c>
    </row>
    <row r="105" spans="2:14" x14ac:dyDescent="0.45">
      <c r="B105" s="32" t="s">
        <v>47</v>
      </c>
      <c r="C105" s="33"/>
      <c r="D105" s="34"/>
      <c r="E105" s="35">
        <f ca="1">IF(E$58&gt;$C$18,"",SUM($E$104:E104))</f>
        <v>111870</v>
      </c>
      <c r="F105" s="35">
        <f ca="1">IF(F$58&gt;$C$18,"",SUM($E$104:F104))</f>
        <v>284760</v>
      </c>
      <c r="G105" s="35">
        <f ca="1">IF(G$58&gt;$C$18,"",SUM($E$104:G104))</f>
        <v>488160</v>
      </c>
      <c r="H105" s="35">
        <f ca="1">IF(H$58&gt;$C$18,"",SUM($E$104:H104))</f>
        <v>691560</v>
      </c>
      <c r="I105" s="35">
        <f ca="1">IF(I$58&gt;$C$18,"",SUM($E$104:I104))</f>
        <v>1304560</v>
      </c>
      <c r="J105" s="35">
        <f ca="1">IF(J$58&gt;$C$18,"",SUM($E$104:J104))</f>
        <v>1422310.2453011805</v>
      </c>
      <c r="K105" s="35">
        <f ca="1">IF(K$58&gt;$C$18,"",SUM($E$104:K104))</f>
        <v>1546342.4248586388</v>
      </c>
      <c r="L105" s="35">
        <f ca="1">IF(L$58&gt;$C$18,"",SUM($E$104:L104))</f>
        <v>1687443.7456019295</v>
      </c>
      <c r="M105" s="35">
        <f ca="1">IF(M$58&gt;$C$18,"",SUM($E$104:M104))</f>
        <v>1833301.5317619112</v>
      </c>
      <c r="N105" s="35" t="str">
        <f>IF(N$58&gt;$C$18,"",SUM($E$104:N104))</f>
        <v/>
      </c>
    </row>
    <row r="106" spans="2:14" x14ac:dyDescent="0.45">
      <c r="B106" s="11"/>
      <c r="C106" s="8"/>
      <c r="E106" s="36"/>
      <c r="F106" s="36"/>
      <c r="G106" s="36"/>
      <c r="H106" s="36"/>
      <c r="I106" s="36"/>
      <c r="J106" s="36"/>
      <c r="K106" s="36"/>
      <c r="L106" s="36"/>
      <c r="M106" s="36"/>
      <c r="N106" s="36"/>
    </row>
    <row r="107" spans="2:14" x14ac:dyDescent="0.45">
      <c r="B107" s="38" t="s">
        <v>48</v>
      </c>
      <c r="C107" s="8"/>
    </row>
    <row r="108" spans="2:14" x14ac:dyDescent="0.45">
      <c r="B108" t="s">
        <v>40</v>
      </c>
      <c r="C108" s="8"/>
      <c r="D108" s="39">
        <f>I42</f>
        <v>12150000</v>
      </c>
    </row>
    <row r="109" spans="2:14" x14ac:dyDescent="0.45">
      <c r="B109" s="22" t="s">
        <v>63</v>
      </c>
      <c r="C109" s="8"/>
      <c r="D109" s="39">
        <f>$C$6*$H$42</f>
        <v>9000000</v>
      </c>
    </row>
    <row r="110" spans="2:14" x14ac:dyDescent="0.45">
      <c r="B110" t="s">
        <v>39</v>
      </c>
      <c r="C110" s="8"/>
      <c r="E110" s="10">
        <f>E74</f>
        <v>891000</v>
      </c>
      <c r="F110" s="10">
        <f>F74</f>
        <v>1377000</v>
      </c>
      <c r="G110" s="10">
        <f>G74</f>
        <v>1620000.0000000002</v>
      </c>
      <c r="H110" s="10">
        <f>H74</f>
        <v>1620000.0000000002</v>
      </c>
      <c r="I110" s="10">
        <f>I74</f>
        <v>900000.00000000023</v>
      </c>
      <c r="J110" s="10">
        <f>J74</f>
        <v>900000.00000000023</v>
      </c>
      <c r="K110" s="10">
        <f>K74</f>
        <v>900000.00000000023</v>
      </c>
      <c r="L110" s="10">
        <f>L74</f>
        <v>981000.00000000023</v>
      </c>
      <c r="M110" s="10">
        <f>M74</f>
        <v>981000.00000000023</v>
      </c>
      <c r="N110" s="10" t="str">
        <f>N74</f>
        <v/>
      </c>
    </row>
    <row r="111" spans="2:14" x14ac:dyDescent="0.45">
      <c r="B111" t="s">
        <v>49</v>
      </c>
      <c r="C111" s="8"/>
      <c r="E111" s="10">
        <f ca="1">IF(E$58&gt;$C$18,"",-E76)</f>
        <v>-89100</v>
      </c>
      <c r="F111" s="10">
        <f ca="1">IF(F$58&gt;$C$18,"",-F76)</f>
        <v>-137700</v>
      </c>
      <c r="G111" s="10">
        <f ca="1">IF(G$58&gt;$C$18,"",-G76)</f>
        <v>-162000.00000000003</v>
      </c>
      <c r="H111" s="10">
        <f ca="1">IF(H$58&gt;$C$18,"",-H76)</f>
        <v>-162000.00000000003</v>
      </c>
      <c r="I111" s="10">
        <f ca="1">IF(I$58&gt;$C$18,"",-I76)</f>
        <v>-90000.000000000029</v>
      </c>
      <c r="J111" s="10">
        <f ca="1">IF(J$58&gt;$C$18,"",-J76)</f>
        <v>-96786.064715972156</v>
      </c>
      <c r="K111" s="10">
        <f ca="1">IF(K$58&gt;$C$18,"",-K76)</f>
        <v>-105760.25651065452</v>
      </c>
      <c r="L111" s="10">
        <f ca="1">IF(L$58&gt;$C$18,"",-L76)</f>
        <v>-123716.17249041521</v>
      </c>
      <c r="M111" s="10">
        <f ca="1">IF(M$58&gt;$C$18,"",-M76)</f>
        <v>-130511.12308568828</v>
      </c>
      <c r="N111" s="10" t="str">
        <f>IF(N$58&gt;$C$18,"",-N76)</f>
        <v/>
      </c>
    </row>
    <row r="112" spans="2:14" x14ac:dyDescent="0.45">
      <c r="B112" t="s">
        <v>62</v>
      </c>
      <c r="C112" s="8"/>
      <c r="E112" s="10"/>
      <c r="F112" s="31" t="str">
        <f>IF(AND(E$62=0,F$62&gt;0),$D$109,"")</f>
        <v/>
      </c>
      <c r="G112" s="31" t="str">
        <f>IF(AND(F$62=0,G$62&gt;0),$D$109,"")</f>
        <v/>
      </c>
      <c r="H112" s="31" t="str">
        <f>IF(AND(G$62=0,H$62&gt;0),$D$109,"")</f>
        <v/>
      </c>
      <c r="I112" s="31">
        <f>IF(AND(H$62=0,I$62&gt;0),$D$109,"")</f>
        <v>9000000</v>
      </c>
      <c r="J112" s="31" t="str">
        <f>IF(AND(I$62=0,J$62&gt;0),$D$109,"")</f>
        <v/>
      </c>
      <c r="K112" s="31" t="str">
        <f>IF(AND(J$62=0,K$62&gt;0),$D$109,"")</f>
        <v/>
      </c>
      <c r="L112" s="31" t="str">
        <f>IF(AND(K$62=0,L$62&gt;0),$D$109,"")</f>
        <v/>
      </c>
      <c r="M112" s="31" t="str">
        <f>IF(AND(L$62=0,M$62&gt;0),$D$109,"")</f>
        <v/>
      </c>
      <c r="N112" s="31" t="str">
        <f>IF(AND(M$62=0,N$62&gt;0),$D$109,"")</f>
        <v/>
      </c>
    </row>
    <row r="113" spans="2:15" x14ac:dyDescent="0.45">
      <c r="B113" s="32" t="s">
        <v>50</v>
      </c>
      <c r="C113" s="33"/>
      <c r="D113" s="34"/>
      <c r="E113" s="35">
        <f ca="1">IF(E$58&gt;$C$18,"",SUM(E110:E112))</f>
        <v>801900</v>
      </c>
      <c r="F113" s="35">
        <f ca="1">IF(F$58&gt;$C$18,"",SUM(F110:F112))</f>
        <v>1239300</v>
      </c>
      <c r="G113" s="35">
        <f ca="1">IF(G$58&gt;$C$18,"",SUM(G110:G112))</f>
        <v>1458000.0000000002</v>
      </c>
      <c r="H113" s="35">
        <f ca="1">IF(H$58&gt;$C$18,"",SUM(H110:H112))</f>
        <v>1458000.0000000002</v>
      </c>
      <c r="I113" s="35">
        <f ca="1">IF(I$58&gt;$C$18,"",SUM(I110:I112))</f>
        <v>9810000</v>
      </c>
      <c r="J113" s="35">
        <f ca="1">IF(J$58&gt;$C$18,"",SUM(J110:J112))</f>
        <v>803213.93528402806</v>
      </c>
      <c r="K113" s="35">
        <f ca="1">IF(K$58&gt;$C$18,"",SUM(K110:K112))</f>
        <v>794239.74348934577</v>
      </c>
      <c r="L113" s="35">
        <f ca="1">IF(L$58&gt;$C$18,"",SUM(L110:L112))</f>
        <v>857283.82750958507</v>
      </c>
      <c r="M113" s="35">
        <f ca="1">IF(M$58&gt;$C$18,"",SUM(M110:M112))</f>
        <v>850488.8769143119</v>
      </c>
      <c r="N113" s="35" t="str">
        <f>IF(N$58&gt;$C$18,"",SUM(N110:N112))</f>
        <v/>
      </c>
    </row>
    <row r="114" spans="2:15" x14ac:dyDescent="0.45">
      <c r="B114" s="32" t="s">
        <v>54</v>
      </c>
      <c r="C114" s="33"/>
      <c r="D114" s="34"/>
      <c r="E114" s="35">
        <f ca="1">IF(E$58&gt;$C$18,"",SUM($E$113:E113))</f>
        <v>801900</v>
      </c>
      <c r="F114" s="35">
        <f ca="1">IF(F$58&gt;$C$18,"",SUM($E$113:F113))</f>
        <v>2041200</v>
      </c>
      <c r="G114" s="35">
        <f ca="1">IF(G$58&gt;$C$18,"",SUM($E$113:G113))</f>
        <v>3499200</v>
      </c>
      <c r="H114" s="35">
        <f ca="1">IF(H$58&gt;$C$18,"",SUM($E$113:H113))</f>
        <v>4957200</v>
      </c>
      <c r="I114" s="35">
        <f ca="1">IF(I$58&gt;$C$18,"",SUM($E$113:I113))</f>
        <v>14767200</v>
      </c>
      <c r="J114" s="35">
        <f ca="1">IF(J$58&gt;$C$18,"",SUM($E$113:J113))</f>
        <v>15570413.935284028</v>
      </c>
      <c r="K114" s="35">
        <f ca="1">IF(K$58&gt;$C$18,"",SUM($E$113:K113))</f>
        <v>16364653.678773373</v>
      </c>
      <c r="L114" s="35">
        <f ca="1">IF(L$58&gt;$C$18,"",SUM($E$113:L113))</f>
        <v>17221937.506282959</v>
      </c>
      <c r="M114" s="35">
        <f ca="1">IF(M$58&gt;$C$18,"",SUM($E$113:M113))</f>
        <v>18072426.38319727</v>
      </c>
      <c r="N114" s="35" t="str">
        <f>IF(N$58&gt;$C$18,"",SUM($E$113:N113))</f>
        <v/>
      </c>
    </row>
    <row r="115" spans="2:15" s="102" customFormat="1" ht="5" customHeight="1" x14ac:dyDescent="0.45">
      <c r="B115" s="100"/>
      <c r="C115" s="101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</row>
    <row r="116" spans="2:15" x14ac:dyDescent="0.45">
      <c r="B116" s="32" t="s">
        <v>98</v>
      </c>
      <c r="C116" s="33"/>
      <c r="D116" s="34"/>
      <c r="E116" s="35">
        <f ca="1">SUM(E110:E111)</f>
        <v>801900</v>
      </c>
      <c r="F116" s="35">
        <f t="shared" ref="F116:M116" ca="1" si="10">SUM(F110:F111)</f>
        <v>1239300</v>
      </c>
      <c r="G116" s="35">
        <f t="shared" ca="1" si="10"/>
        <v>1458000.0000000002</v>
      </c>
      <c r="H116" s="35">
        <f t="shared" ca="1" si="10"/>
        <v>1458000.0000000002</v>
      </c>
      <c r="I116" s="35">
        <f t="shared" ca="1" si="10"/>
        <v>810000.00000000023</v>
      </c>
      <c r="J116" s="35">
        <f t="shared" ca="1" si="10"/>
        <v>803213.93528402806</v>
      </c>
      <c r="K116" s="35">
        <f t="shared" ca="1" si="10"/>
        <v>794239.74348934577</v>
      </c>
      <c r="L116" s="35">
        <f t="shared" ca="1" si="10"/>
        <v>857283.82750958507</v>
      </c>
      <c r="M116" s="35">
        <f t="shared" ca="1" si="10"/>
        <v>850488.8769143119</v>
      </c>
      <c r="N116" s="35"/>
    </row>
    <row r="117" spans="2:15" x14ac:dyDescent="0.45">
      <c r="B117" s="32" t="s">
        <v>99</v>
      </c>
      <c r="C117" s="33"/>
      <c r="D117" s="34"/>
      <c r="E117" s="35">
        <f ca="1">SUM($E$116:E116)</f>
        <v>801900</v>
      </c>
      <c r="F117" s="35">
        <f ca="1">SUM($E$116:F116)</f>
        <v>2041200</v>
      </c>
      <c r="G117" s="35">
        <f ca="1">SUM($E$116:G116)</f>
        <v>3499200</v>
      </c>
      <c r="H117" s="35">
        <f ca="1">SUM($E$116:H116)</f>
        <v>4957200</v>
      </c>
      <c r="I117" s="35">
        <f ca="1">SUM($E$116:I116)</f>
        <v>5767200</v>
      </c>
      <c r="J117" s="35">
        <f ca="1">SUM($E$116:J116)</f>
        <v>6570413.9352840278</v>
      </c>
      <c r="K117" s="35">
        <f ca="1">SUM($E$116:K116)</f>
        <v>7364653.6787733734</v>
      </c>
      <c r="L117" s="35">
        <f ca="1">SUM($E$116:L116)</f>
        <v>8221937.5062829582</v>
      </c>
      <c r="M117" s="35">
        <f ca="1">SUM($E$116:M116)</f>
        <v>9072426.3831972703</v>
      </c>
      <c r="N117" s="35"/>
      <c r="O117" s="67" t="s">
        <v>100</v>
      </c>
    </row>
    <row r="118" spans="2:15" x14ac:dyDescent="0.45">
      <c r="C118" s="8"/>
      <c r="E118" s="10"/>
      <c r="F118" s="10"/>
      <c r="G118" s="10"/>
      <c r="H118" s="10"/>
      <c r="I118" s="10"/>
      <c r="J118" s="10"/>
      <c r="K118" s="10"/>
      <c r="L118" s="10"/>
      <c r="M118" s="10"/>
    </row>
    <row r="119" spans="2:15" x14ac:dyDescent="0.45">
      <c r="B119" s="75" t="s">
        <v>84</v>
      </c>
      <c r="C119" s="76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</row>
    <row r="120" spans="2:15" x14ac:dyDescent="0.45">
      <c r="B120" s="23" t="s">
        <v>65</v>
      </c>
      <c r="C120" s="14"/>
      <c r="D120" s="10"/>
      <c r="E120" s="31">
        <f>IF(E$58&gt;$C$18,"",$C$19)</f>
        <v>28000000</v>
      </c>
      <c r="F120" s="31">
        <f>IF(F$58&gt;$C$18,"",$C$19)</f>
        <v>28000000</v>
      </c>
      <c r="G120" s="31">
        <f>IF(G$58&gt;$C$18,"",$C$19)</f>
        <v>28000000</v>
      </c>
      <c r="H120" s="31">
        <f>IF(H$58&gt;$C$18,"",$C$19)</f>
        <v>28000000</v>
      </c>
      <c r="I120" s="31">
        <f>IF(I$58&gt;$C$18,"",$C$19)</f>
        <v>28000000</v>
      </c>
      <c r="J120" s="31">
        <f>IF(J$58&gt;$C$18,"",$C$19)</f>
        <v>28000000</v>
      </c>
      <c r="K120" s="31">
        <f>IF(K$58&gt;$C$18,"",$C$19)</f>
        <v>28000000</v>
      </c>
      <c r="L120" s="31">
        <f>IF(L$58&gt;$C$18,"",$C$19)</f>
        <v>28000000</v>
      </c>
      <c r="M120" s="31">
        <f>IF(M$58&gt;$C$18,"",$C$19)</f>
        <v>28000000</v>
      </c>
      <c r="N120" s="31" t="str">
        <f>IF(N$58&gt;$C$18,"",$C$19)</f>
        <v/>
      </c>
    </row>
    <row r="121" spans="2:15" x14ac:dyDescent="0.45">
      <c r="B121" s="22" t="s">
        <v>66</v>
      </c>
      <c r="C121" s="14"/>
      <c r="D121" s="10"/>
      <c r="E121" s="31" t="str">
        <f>IF(AND(E$58&lt;=$C$18,E$58&gt;=$C$7),-$C$6,"")</f>
        <v/>
      </c>
      <c r="F121" s="31" t="str">
        <f>IF(AND(F$58&lt;=$C$18,F$58&gt;=$C$7),-$C$6,"")</f>
        <v/>
      </c>
      <c r="G121" s="31" t="str">
        <f>IF(AND(G$58&lt;=$C$18,G$58&gt;=$C$7),-$C$6,"")</f>
        <v/>
      </c>
      <c r="H121" s="31" t="str">
        <f>IF(AND(H$58&lt;=$C$18,H$58&gt;=$C$7),-$C$6,"")</f>
        <v/>
      </c>
      <c r="I121" s="31">
        <f>IF(AND(I$58&lt;=$C$18,I$58&gt;=$C$7),-$C$6,"")</f>
        <v>-10000000</v>
      </c>
      <c r="J121" s="31">
        <f>IF(AND(J$58&lt;=$C$18,J$58&gt;=$C$7),-$C$6,"")</f>
        <v>-10000000</v>
      </c>
      <c r="K121" s="31">
        <f>IF(AND(K$58&lt;=$C$18,K$58&gt;=$C$7),-$C$6,"")</f>
        <v>-10000000</v>
      </c>
      <c r="L121" s="31">
        <f>IF(AND(L$58&lt;=$C$18,L$58&gt;=$C$7),-$C$6,"")</f>
        <v>-10000000</v>
      </c>
      <c r="M121" s="31">
        <f>IF(AND(M$58&lt;=$C$18,M$58&gt;=$C$7),-$C$6,"")</f>
        <v>-10000000</v>
      </c>
      <c r="N121" s="31" t="str">
        <f>IF(AND(N$58&lt;=$C$18,N$58&gt;=$C$7),-$C$6,"")</f>
        <v/>
      </c>
      <c r="O121" s="67" t="s">
        <v>79</v>
      </c>
    </row>
    <row r="122" spans="2:15" s="11" customFormat="1" x14ac:dyDescent="0.45">
      <c r="B122" s="27" t="s">
        <v>67</v>
      </c>
      <c r="C122" s="28"/>
      <c r="D122" s="29"/>
      <c r="E122" s="36">
        <f>IF(E$58&gt;$C$18,"",SUM(E120:E121))</f>
        <v>28000000</v>
      </c>
      <c r="F122" s="36">
        <f>IF(F$58&gt;$C$18,"",SUM(F120:F121))</f>
        <v>28000000</v>
      </c>
      <c r="G122" s="36">
        <f>IF(G$58&gt;$C$18,"",SUM(G120:G121))</f>
        <v>28000000</v>
      </c>
      <c r="H122" s="36">
        <f>IF(H$58&gt;$C$18,"",SUM(H120:H121))</f>
        <v>28000000</v>
      </c>
      <c r="I122" s="36">
        <f>IF(I$58&gt;$C$18,"",SUM(I120:I121))</f>
        <v>18000000</v>
      </c>
      <c r="J122" s="36">
        <f>IF(J$58&gt;$C$18,"",SUM(J120:J121))</f>
        <v>18000000</v>
      </c>
      <c r="K122" s="36">
        <f>IF(K$58&gt;$C$18,"",SUM(K120:K121))</f>
        <v>18000000</v>
      </c>
      <c r="L122" s="36">
        <f>IF(L$58&gt;$C$18,"",SUM(L120:L121))</f>
        <v>18000000</v>
      </c>
      <c r="M122" s="36">
        <f>IF(M$58&gt;$C$18,"",SUM(M120:M121))</f>
        <v>18000000</v>
      </c>
      <c r="N122" s="36" t="str">
        <f>IF(N$58&gt;$C$18,"",SUM(N120:N121))</f>
        <v/>
      </c>
    </row>
    <row r="123" spans="2:15" s="11" customFormat="1" x14ac:dyDescent="0.45">
      <c r="B123" s="27"/>
      <c r="C123" s="28"/>
      <c r="D123" s="29"/>
      <c r="E123" s="36"/>
      <c r="F123" s="36"/>
      <c r="G123" s="36"/>
      <c r="H123" s="36"/>
      <c r="I123" s="36"/>
      <c r="J123" s="36"/>
      <c r="K123" s="36"/>
      <c r="L123" s="36"/>
      <c r="M123" s="36"/>
      <c r="N123" s="36"/>
    </row>
    <row r="124" spans="2:15" s="11" customFormat="1" x14ac:dyDescent="0.45">
      <c r="B124" s="27" t="s">
        <v>87</v>
      </c>
      <c r="C124" s="28"/>
      <c r="D124" s="29"/>
      <c r="E124" s="36"/>
      <c r="F124" s="36"/>
      <c r="G124" s="36"/>
      <c r="H124" s="36"/>
      <c r="I124" s="36"/>
      <c r="J124" s="36"/>
      <c r="K124" s="36"/>
      <c r="L124" s="36"/>
      <c r="M124" s="36"/>
      <c r="N124" s="36"/>
    </row>
    <row r="125" spans="2:15" x14ac:dyDescent="0.45">
      <c r="B125" s="22" t="s">
        <v>38</v>
      </c>
      <c r="C125" s="14"/>
      <c r="D125" s="40">
        <f>H40</f>
        <v>0.05</v>
      </c>
      <c r="E125" s="10">
        <f>IF(E$58&gt;$C$18,"",E$122*$D125)</f>
        <v>1400000</v>
      </c>
      <c r="F125" s="10">
        <f>IF(F$58&gt;$C$18,"",F$122*$D125)</f>
        <v>1400000</v>
      </c>
      <c r="G125" s="10">
        <f>IF(G$58&gt;$C$18,"",G$122*$D125)</f>
        <v>1400000</v>
      </c>
      <c r="H125" s="10">
        <f>IF(H$58&gt;$C$18,"",H$122*$D125)</f>
        <v>1400000</v>
      </c>
      <c r="I125" s="10">
        <f>IF(I$58&gt;$C$18,"",I$122*$D125)</f>
        <v>900000</v>
      </c>
      <c r="J125" s="10">
        <f>IF(J$58&gt;$C$18,"",J$122*$D125)</f>
        <v>900000</v>
      </c>
      <c r="K125" s="10">
        <f>IF(K$58&gt;$C$18,"",K$122*$D125)</f>
        <v>900000</v>
      </c>
      <c r="L125" s="10">
        <f>IF(L$58&gt;$C$18,"",L$122*$D125)</f>
        <v>900000</v>
      </c>
      <c r="M125" s="10">
        <f>IF(M$58&gt;$C$18,"",M$122*$D125)</f>
        <v>900000</v>
      </c>
      <c r="N125" s="10" t="str">
        <f>IF(N$58&gt;$C$18,"",N$122*$D125)</f>
        <v/>
      </c>
    </row>
    <row r="126" spans="2:15" x14ac:dyDescent="0.45">
      <c r="B126" s="22" t="s">
        <v>33</v>
      </c>
      <c r="C126" s="14"/>
      <c r="D126" s="40">
        <f>H41</f>
        <v>0.05</v>
      </c>
      <c r="E126" s="10">
        <f>IF(E$58&gt;$C$18,"",E$122*$D126)</f>
        <v>1400000</v>
      </c>
      <c r="F126" s="10">
        <f>IF(F$58&gt;$C$18,"",F$122*$D126)</f>
        <v>1400000</v>
      </c>
      <c r="G126" s="10">
        <f>IF(G$58&gt;$C$18,"",G$122*$D126)</f>
        <v>1400000</v>
      </c>
      <c r="H126" s="10">
        <f>IF(H$58&gt;$C$18,"",H$122*$D126)</f>
        <v>1400000</v>
      </c>
      <c r="I126" s="10">
        <f>IF(I$58&gt;$C$18,"",I$122*$D126)</f>
        <v>900000</v>
      </c>
      <c r="J126" s="10">
        <f>IF(J$58&gt;$C$18,"",J$122*$D126)</f>
        <v>900000</v>
      </c>
      <c r="K126" s="10">
        <f>IF(K$58&gt;$C$18,"",K$122*$D126)</f>
        <v>900000</v>
      </c>
      <c r="L126" s="10">
        <f>IF(L$58&gt;$C$18,"",L$122*$D126)</f>
        <v>900000</v>
      </c>
      <c r="M126" s="10">
        <f>IF(M$58&gt;$C$18,"",M$122*$D126)</f>
        <v>900000</v>
      </c>
      <c r="N126" s="10" t="str">
        <f>IF(N$58&gt;$C$18,"",N$122*$D126)</f>
        <v/>
      </c>
    </row>
    <row r="127" spans="2:15" x14ac:dyDescent="0.45">
      <c r="B127" s="22" t="s">
        <v>46</v>
      </c>
      <c r="C127" s="8"/>
      <c r="D127" s="40"/>
      <c r="E127" s="10">
        <f ca="1">IF($C$4=0,0,IF(E$58&gt;$C$18,"",E$122*E$128))</f>
        <v>24222254.137409408</v>
      </c>
      <c r="F127" s="10">
        <f ca="1">IF($C$4=0,0,IF(F$58&gt;$C$18,"",F$122*F$128))</f>
        <v>24035657.219860755</v>
      </c>
      <c r="G127" s="10">
        <f ca="1">IF($C$4=0,0,IF(G$58&gt;$C$18,"",G$122*G$128))</f>
        <v>23832074.821117282</v>
      </c>
      <c r="H127" s="10">
        <f ca="1">IF($C$4=0,0,IF(H$58&gt;$C$18,"",H$122*H$128))</f>
        <v>23644145.417356025</v>
      </c>
      <c r="I127" s="10">
        <f ca="1">IF($C$4=0,0,IF(I$58&gt;$C$18,"",I$122*I$128))</f>
        <v>15090419.567194792</v>
      </c>
      <c r="J127" s="10">
        <f ca="1">IF($C$4=0,0,IF(J$58&gt;$C$18,"",J$122*J$128))</f>
        <v>15029969.547349013</v>
      </c>
      <c r="K127" s="10">
        <f ca="1">IF($C$4=0,0,IF(K$58&gt;$C$18,"",K$122*K$128))</f>
        <v>14972814.532990465</v>
      </c>
      <c r="L127" s="10">
        <f ca="1">IF($C$4=0,0,IF(L$58&gt;$C$18,"",L$122*L$128))</f>
        <v>14913867.651224211</v>
      </c>
      <c r="M127" s="10">
        <f ca="1">IF($C$4=0,0,IF(M$58&gt;$C$18,"",M$122*M$128))</f>
        <v>14858031.181438928</v>
      </c>
      <c r="N127" s="10" t="str">
        <f>IF($C$4=0,0,IF(N$58&gt;$C$18,"",N$122*N$128))</f>
        <v/>
      </c>
    </row>
    <row r="128" spans="2:15" s="13" customFormat="1" x14ac:dyDescent="0.45">
      <c r="B128" s="9" t="s">
        <v>69</v>
      </c>
      <c r="C128" s="68"/>
      <c r="D128" s="40"/>
      <c r="E128" s="70">
        <f ca="1">IFERROR(100%-(($I$28*E140)+(E141*$I$29)+(E142*$I$30))/E151,"")</f>
        <v>0.86508050491426691</v>
      </c>
      <c r="F128" s="70">
        <f ca="1">IFERROR(100%-(($I$28*F140)+(F141*$I$29)+(F142*$I$30))/F151,"")</f>
        <v>0.85841632928371991</v>
      </c>
      <c r="G128" s="70">
        <f ca="1">IFERROR(100%-(($I$28*G140)+(G141*$I$29)+(G142*$I$30))/G151,"")</f>
        <v>0.85114552932663257</v>
      </c>
      <c r="H128" s="70">
        <f ca="1">IFERROR(100%-(($I$28*H140)+(H141*$I$29)+(H142*$I$30))/H151,"")</f>
        <v>0.84443376490592059</v>
      </c>
      <c r="I128" s="70">
        <f ca="1">IFERROR(100%-(($I$28*I140)+(I141*$I$29)+(I142*$I$30))/I151,"")</f>
        <v>0.83835664262193288</v>
      </c>
      <c r="J128" s="70">
        <f ca="1">IFERROR(100%-(($I$28*J140)+(J141*$I$29)+(J142*$I$30))/J151,"")</f>
        <v>0.83499830818605625</v>
      </c>
      <c r="K128" s="70">
        <f ca="1">IFERROR(100%-(($I$28*K140)+(K141*$I$29)+(K142*$I$30))/K151,"")</f>
        <v>0.83182302961058152</v>
      </c>
      <c r="L128" s="70">
        <f ca="1">IFERROR(100%-(($I$28*L140)+(L141*$I$29)+(L142*$I$30))/L151,"")</f>
        <v>0.82854820284578956</v>
      </c>
      <c r="M128" s="70">
        <f ca="1">IFERROR(100%-(($I$28*M140)+(M141*$I$29)+(M142*$I$30))/M151,"")</f>
        <v>0.82544617674660714</v>
      </c>
      <c r="N128" s="70" t="str">
        <f>IFERROR(100%-(($I$28*N140)+(N141*$I$29)+(N142*$I$30))/N151,"")</f>
        <v/>
      </c>
    </row>
    <row r="129" spans="2:14" s="13" customFormat="1" x14ac:dyDescent="0.45">
      <c r="B129" s="69"/>
      <c r="C129" s="68"/>
      <c r="D129" s="40"/>
      <c r="E129" s="70"/>
      <c r="F129" s="70"/>
      <c r="G129" s="70"/>
      <c r="H129" s="70"/>
      <c r="I129" s="70"/>
      <c r="J129" s="70"/>
      <c r="K129" s="70"/>
      <c r="L129" s="70"/>
      <c r="M129" s="70"/>
      <c r="N129" s="70"/>
    </row>
    <row r="130" spans="2:14" s="85" customFormat="1" x14ac:dyDescent="0.45">
      <c r="B130" s="27" t="s">
        <v>88</v>
      </c>
      <c r="C130" s="83"/>
      <c r="D130" s="84"/>
      <c r="E130" s="10">
        <f ca="1">IF(E$58&gt;$C$18,"",E122-SUM(E125:E127))</f>
        <v>977745.86259059235</v>
      </c>
      <c r="F130" s="10">
        <f ca="1">IF(F$58&gt;$C$18,"",F122-SUM(F125:F127))</f>
        <v>1164342.7801392451</v>
      </c>
      <c r="G130" s="10">
        <f ca="1">IF(G$58&gt;$C$18,"",G122-SUM(G125:G127))</f>
        <v>1367925.1788827181</v>
      </c>
      <c r="H130" s="10">
        <f ca="1">IF(H$58&gt;$C$18,"",H122-SUM(H125:H127))</f>
        <v>1555854.5826439746</v>
      </c>
      <c r="I130" s="10">
        <f ca="1">IF(I$58&gt;$C$18,"",I122-SUM(I125:I127))</f>
        <v>1109580.4328052104</v>
      </c>
      <c r="J130" s="10">
        <f ca="1">IF(J$58&gt;$C$18,"",J122-SUM(J125:J127))</f>
        <v>1170030.4526509866</v>
      </c>
      <c r="K130" s="10">
        <f ca="1">IF(K$58&gt;$C$18,"",K122-SUM(K125:K127))</f>
        <v>1227185.4670095351</v>
      </c>
      <c r="L130" s="10">
        <f ca="1">IF(L$58&gt;$C$18,"",L122-SUM(L125:L127))</f>
        <v>1286132.3487757891</v>
      </c>
      <c r="M130" s="10">
        <f ca="1">IF(M$58&gt;$C$18,"",M122-SUM(M125:M127))</f>
        <v>1341968.8185610715</v>
      </c>
      <c r="N130" s="10" t="str">
        <f>IF(N$58&gt;$C$18,"",N122-SUM(N125:N127))</f>
        <v/>
      </c>
    </row>
    <row r="131" spans="2:14" s="13" customFormat="1" x14ac:dyDescent="0.45">
      <c r="B131" s="9" t="s">
        <v>38</v>
      </c>
      <c r="C131" s="68"/>
      <c r="D131" s="40">
        <f>C12</f>
        <v>0.3</v>
      </c>
      <c r="E131" s="10">
        <f ca="1">IF(E$58&gt;$C$18,"",E$130*$D131)</f>
        <v>293323.75877717772</v>
      </c>
      <c r="F131" s="10">
        <f ca="1">IF(F$58&gt;$C$18,"",F$130*$D131)</f>
        <v>349302.83404177352</v>
      </c>
      <c r="G131" s="10">
        <f ca="1">IF(G$58&gt;$C$18,"",G$130*$D131)</f>
        <v>410377.55366481544</v>
      </c>
      <c r="H131" s="10">
        <f ca="1">IF(H$58&gt;$C$18,"",H$130*$D131)</f>
        <v>466756.37479319237</v>
      </c>
      <c r="I131" s="10">
        <f ca="1">IF(I$58&gt;$C$18,"",I$130*$D131)</f>
        <v>332874.12984156312</v>
      </c>
      <c r="J131" s="10">
        <f ca="1">IF(J$58&gt;$C$18,"",J$130*$D131)</f>
        <v>351009.135795296</v>
      </c>
      <c r="K131" s="10">
        <f ca="1">IF(K$58&gt;$C$18,"",K$130*$D131)</f>
        <v>368155.64010286052</v>
      </c>
      <c r="L131" s="10">
        <f ca="1">IF(L$58&gt;$C$18,"",L$130*$D131)</f>
        <v>385839.70463273674</v>
      </c>
      <c r="M131" s="10">
        <f ca="1">IF(M$58&gt;$C$18,"",M$130*$D131)</f>
        <v>402590.64556832146</v>
      </c>
      <c r="N131" s="10" t="str">
        <f>IF(N$58&gt;$C$18,"",N$130*$D131)</f>
        <v/>
      </c>
    </row>
    <row r="132" spans="2:14" s="13" customFormat="1" x14ac:dyDescent="0.45">
      <c r="B132" s="9" t="s">
        <v>33</v>
      </c>
      <c r="C132" s="68"/>
      <c r="D132" s="40">
        <f>C13</f>
        <v>0.7</v>
      </c>
      <c r="E132" s="10">
        <f ca="1">IF(E$58&gt;$C$18,"",E$130*$D132)</f>
        <v>684422.10381341458</v>
      </c>
      <c r="F132" s="10">
        <f ca="1">IF(F$58&gt;$C$18,"",F$130*$D132)</f>
        <v>815039.94609747152</v>
      </c>
      <c r="G132" s="10">
        <f ca="1">IF(G$58&gt;$C$18,"",G$130*$D132)</f>
        <v>957547.62521790259</v>
      </c>
      <c r="H132" s="10">
        <f ca="1">IF(H$58&gt;$C$18,"",H$130*$D132)</f>
        <v>1089098.2078507822</v>
      </c>
      <c r="I132" s="10">
        <f ca="1">IF(I$58&gt;$C$18,"",I$130*$D132)</f>
        <v>776706.30296364718</v>
      </c>
      <c r="J132" s="10">
        <f ca="1">IF(J$58&gt;$C$18,"",J$130*$D132)</f>
        <v>819021.31685569056</v>
      </c>
      <c r="K132" s="10">
        <f ca="1">IF(K$58&gt;$C$18,"",K$130*$D132)</f>
        <v>859029.82690667454</v>
      </c>
      <c r="L132" s="10">
        <f ca="1">IF(L$58&gt;$C$18,"",L$130*$D132)</f>
        <v>900292.6441430524</v>
      </c>
      <c r="M132" s="10">
        <f ca="1">IF(M$58&gt;$C$18,"",M$130*$D132)</f>
        <v>939378.17299274995</v>
      </c>
      <c r="N132" s="10" t="str">
        <f>IF(N$58&gt;$C$18,"",N$130*$D132)</f>
        <v/>
      </c>
    </row>
    <row r="133" spans="2:14" s="13" customFormat="1" x14ac:dyDescent="0.45">
      <c r="B133" s="9"/>
      <c r="C133" s="68"/>
      <c r="D133" s="40"/>
      <c r="E133" s="81"/>
      <c r="F133" s="81"/>
      <c r="G133" s="81"/>
      <c r="H133" s="81"/>
      <c r="I133" s="81"/>
      <c r="J133" s="81"/>
      <c r="K133" s="81"/>
      <c r="L133" s="81"/>
      <c r="M133" s="81"/>
      <c r="N133" s="70"/>
    </row>
    <row r="134" spans="2:14" s="13" customFormat="1" x14ac:dyDescent="0.45">
      <c r="B134" s="27" t="s">
        <v>86</v>
      </c>
      <c r="C134" s="68"/>
      <c r="D134" s="40"/>
      <c r="E134" s="81"/>
      <c r="F134" s="81"/>
      <c r="G134" s="81"/>
      <c r="H134" s="81"/>
      <c r="I134" s="81"/>
      <c r="J134" s="81"/>
      <c r="K134" s="81"/>
      <c r="L134" s="81"/>
      <c r="M134" s="81"/>
      <c r="N134" s="70"/>
    </row>
    <row r="135" spans="2:14" s="13" customFormat="1" x14ac:dyDescent="0.45">
      <c r="B135" s="22" t="s">
        <v>38</v>
      </c>
      <c r="C135" s="68"/>
      <c r="D135" s="40"/>
      <c r="E135" s="10">
        <f ca="1">IF(E$58&gt;$C$18,"",E125+E131)</f>
        <v>1693323.7587771777</v>
      </c>
      <c r="F135" s="10">
        <f ca="1">IF(F$58&gt;$C$18,"",F125+F131)</f>
        <v>1749302.8340417736</v>
      </c>
      <c r="G135" s="10">
        <f ca="1">IF(G$58&gt;$C$18,"",G125+G131)</f>
        <v>1810377.5536648154</v>
      </c>
      <c r="H135" s="10">
        <f ca="1">IF(H$58&gt;$C$18,"",H125+H131)</f>
        <v>1866756.3747931924</v>
      </c>
      <c r="I135" s="10">
        <f ca="1">IF(I$58&gt;$C$18,"",I125+I131)</f>
        <v>1232874.1298415631</v>
      </c>
      <c r="J135" s="10">
        <f ca="1">IF(J$58&gt;$C$18,"",J125+J131)</f>
        <v>1251009.1357952959</v>
      </c>
      <c r="K135" s="10">
        <f ca="1">IF(K$58&gt;$C$18,"",K125+K131)</f>
        <v>1268155.6401028605</v>
      </c>
      <c r="L135" s="10">
        <f ca="1">IF(L$58&gt;$C$18,"",L125+L131)</f>
        <v>1285839.7046327367</v>
      </c>
      <c r="M135" s="10">
        <f ca="1">IF(M$58&gt;$C$18,"",M125+M131)</f>
        <v>1302590.6455683215</v>
      </c>
      <c r="N135" s="10" t="str">
        <f>IF(N$58&gt;$C$18,"",N125+N131)</f>
        <v/>
      </c>
    </row>
    <row r="136" spans="2:14" s="13" customFormat="1" x14ac:dyDescent="0.45">
      <c r="B136" s="22" t="s">
        <v>33</v>
      </c>
      <c r="C136" s="68"/>
      <c r="D136" s="40"/>
      <c r="E136" s="10">
        <f ca="1">IF(E$58&gt;$C$18,"",E126+E132)</f>
        <v>2084422.1038134145</v>
      </c>
      <c r="F136" s="10">
        <f ca="1">IF(F$58&gt;$C$18,"",F126+F132)</f>
        <v>2215039.9460974718</v>
      </c>
      <c r="G136" s="10">
        <f ca="1">IF(G$58&gt;$C$18,"",G126+G132)</f>
        <v>2357547.6252179025</v>
      </c>
      <c r="H136" s="10">
        <f ca="1">IF(H$58&gt;$C$18,"",H126+H132)</f>
        <v>2489098.2078507822</v>
      </c>
      <c r="I136" s="10">
        <f ca="1">IF(I$58&gt;$C$18,"",I126+I132)</f>
        <v>1676706.3029636471</v>
      </c>
      <c r="J136" s="10">
        <f ca="1">IF(J$58&gt;$C$18,"",J126+J132)</f>
        <v>1719021.3168556904</v>
      </c>
      <c r="K136" s="10">
        <f ca="1">IF(K$58&gt;$C$18,"",K126+K132)</f>
        <v>1759029.8269066745</v>
      </c>
      <c r="L136" s="10">
        <f ca="1">IF(L$58&gt;$C$18,"",L126+L132)</f>
        <v>1800292.6441430524</v>
      </c>
      <c r="M136" s="10">
        <f ca="1">IF(M$58&gt;$C$18,"",M126+M132)</f>
        <v>1839378.1729927501</v>
      </c>
      <c r="N136" s="10" t="str">
        <f>IF(N$58&gt;$C$18,"",N126+N132)</f>
        <v/>
      </c>
    </row>
    <row r="137" spans="2:14" x14ac:dyDescent="0.45">
      <c r="B137" s="22" t="s">
        <v>46</v>
      </c>
      <c r="C137" s="8"/>
      <c r="D137" s="40"/>
      <c r="E137" s="31">
        <f ca="1">IF(E$58&gt;$C$18,"",E127)</f>
        <v>24222254.137409408</v>
      </c>
      <c r="F137" s="31">
        <f ca="1">IF(F$58&gt;$C$18,"",F127)</f>
        <v>24035657.219860755</v>
      </c>
      <c r="G137" s="31">
        <f ca="1">IF(G$58&gt;$C$18,"",G127)</f>
        <v>23832074.821117282</v>
      </c>
      <c r="H137" s="31">
        <f ca="1">IF(H$58&gt;$C$18,"",H127)</f>
        <v>23644145.417356025</v>
      </c>
      <c r="I137" s="31">
        <f ca="1">IF(I$58&gt;$C$18,"",I127)</f>
        <v>15090419.567194792</v>
      </c>
      <c r="J137" s="31">
        <f ca="1">IF(J$58&gt;$C$18,"",J127)</f>
        <v>15029969.547349013</v>
      </c>
      <c r="K137" s="31">
        <f ca="1">IF(K$58&gt;$C$18,"",K127)</f>
        <v>14972814.532990465</v>
      </c>
      <c r="L137" s="31">
        <f ca="1">IF(L$58&gt;$C$18,"",L127)</f>
        <v>14913867.651224211</v>
      </c>
      <c r="M137" s="31">
        <f ca="1">IF(M$58&gt;$C$18,"",M127)</f>
        <v>14858031.181438928</v>
      </c>
      <c r="N137" s="31" t="str">
        <f>IF(N$58&gt;$C$18,"",N127)</f>
        <v/>
      </c>
    </row>
    <row r="138" spans="2:14" x14ac:dyDescent="0.45">
      <c r="B138" s="22"/>
      <c r="C138" s="8"/>
      <c r="D138" s="40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 spans="2:14" hidden="1" outlineLevel="1" x14ac:dyDescent="0.45">
      <c r="B139" s="82" t="s">
        <v>89</v>
      </c>
      <c r="C139" s="8"/>
      <c r="D139" s="40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2:14" hidden="1" outlineLevel="1" x14ac:dyDescent="0.45">
      <c r="B140" s="22" t="s">
        <v>76</v>
      </c>
      <c r="C140" s="8"/>
      <c r="D140" s="40"/>
      <c r="E140" s="10">
        <f ca="1">IF(AND(E151&gt;$F$28,E151&lt;=$G$28),E151,$G$28)</f>
        <v>17010000</v>
      </c>
      <c r="F140" s="10">
        <f t="shared" ref="F140:N140" ca="1" si="11">IF(AND(F151&gt;$F$28,F151&lt;=$G$28),F151,$G$28)</f>
        <v>17010000</v>
      </c>
      <c r="G140" s="10">
        <f t="shared" ca="1" si="11"/>
        <v>17010000</v>
      </c>
      <c r="H140" s="10">
        <f t="shared" ca="1" si="11"/>
        <v>17010000</v>
      </c>
      <c r="I140" s="10">
        <f t="shared" ca="1" si="11"/>
        <v>17010000</v>
      </c>
      <c r="J140" s="10">
        <f t="shared" ca="1" si="11"/>
        <v>17010000</v>
      </c>
      <c r="K140" s="10">
        <f t="shared" ca="1" si="11"/>
        <v>17010000</v>
      </c>
      <c r="L140" s="10">
        <f t="shared" ca="1" si="11"/>
        <v>17010000</v>
      </c>
      <c r="M140" s="10">
        <f t="shared" ca="1" si="11"/>
        <v>17010000</v>
      </c>
      <c r="N140" s="10">
        <f t="shared" si="11"/>
        <v>17010000</v>
      </c>
    </row>
    <row r="141" spans="2:14" hidden="1" outlineLevel="1" x14ac:dyDescent="0.45">
      <c r="B141" s="22" t="s">
        <v>77</v>
      </c>
      <c r="C141" s="8"/>
      <c r="E141" s="10">
        <f t="shared" ref="E141:N141" ca="1" si="12">IF(AND(E151&gt;$G$28,E151&lt;$G$29),E151-$F$29,IF(E151&gt;$F$30,$G$29-$F$29,0))</f>
        <v>7290000</v>
      </c>
      <c r="F141" s="10">
        <f t="shared" ca="1" si="12"/>
        <v>7290000</v>
      </c>
      <c r="G141" s="10">
        <f t="shared" ca="1" si="12"/>
        <v>7290000</v>
      </c>
      <c r="H141" s="10">
        <f t="shared" ca="1" si="12"/>
        <v>7290000</v>
      </c>
      <c r="I141" s="10">
        <f t="shared" ca="1" si="12"/>
        <v>7290000</v>
      </c>
      <c r="J141" s="10">
        <f t="shared" ca="1" si="12"/>
        <v>7290000</v>
      </c>
      <c r="K141" s="10">
        <f t="shared" ca="1" si="12"/>
        <v>7290000</v>
      </c>
      <c r="L141" s="10">
        <f t="shared" ca="1" si="12"/>
        <v>7290000</v>
      </c>
      <c r="M141" s="10">
        <f t="shared" ca="1" si="12"/>
        <v>7290000</v>
      </c>
      <c r="N141" s="10">
        <f t="shared" si="12"/>
        <v>7290000</v>
      </c>
    </row>
    <row r="142" spans="2:14" hidden="1" outlineLevel="1" x14ac:dyDescent="0.45">
      <c r="B142" s="22" t="s">
        <v>78</v>
      </c>
      <c r="C142" s="8"/>
      <c r="E142" s="66">
        <f t="shared" ref="E142:N142" ca="1" si="13">IFERROR(IF(E151&gt;$F$30,E151-$F$30,0),"NA")</f>
        <v>724154.1376571618</v>
      </c>
      <c r="F142" s="66">
        <f t="shared" ca="1" si="13"/>
        <v>1776857.2199706174</v>
      </c>
      <c r="G142" s="66">
        <f t="shared" ca="1" si="13"/>
        <v>3031274.8211551942</v>
      </c>
      <c r="H142" s="66">
        <f t="shared" ca="1" si="13"/>
        <v>4301345.4173691906</v>
      </c>
      <c r="I142" s="66">
        <f t="shared" ca="1" si="13"/>
        <v>5557619.5671947896</v>
      </c>
      <c r="J142" s="66">
        <f t="shared" ca="1" si="13"/>
        <v>6300383.4826330394</v>
      </c>
      <c r="K142" s="66">
        <f t="shared" ca="1" si="13"/>
        <v>7037468.2117638402</v>
      </c>
      <c r="L142" s="66">
        <f t="shared" ca="1" si="13"/>
        <v>7835805.1575071737</v>
      </c>
      <c r="M142" s="66">
        <f t="shared" ca="1" si="13"/>
        <v>8630457.5646362007</v>
      </c>
      <c r="N142" s="66" t="str">
        <f t="shared" si="13"/>
        <v>NA</v>
      </c>
    </row>
    <row r="143" spans="2:14" hidden="1" outlineLevel="1" x14ac:dyDescent="0.45">
      <c r="B143" s="22"/>
      <c r="C143" s="8"/>
      <c r="D143" s="40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2:14" hidden="1" outlineLevel="1" x14ac:dyDescent="0.45">
      <c r="B144" s="22" t="s">
        <v>91</v>
      </c>
      <c r="C144" s="8"/>
      <c r="D144" s="40"/>
      <c r="E144" s="98">
        <f ca="1">IFERROR((E140*$I$28)+(E141*$I$29)+(E142*$I$30),"NA")</f>
        <v>3376246.2412971486</v>
      </c>
      <c r="F144" s="98">
        <f ca="1">IFERROR((F140*$I$28)+(F141*$I$29)+(F142*$I$30),"NA")</f>
        <v>3692057.1659911852</v>
      </c>
      <c r="G144" s="98">
        <f ca="1">IFERROR((G140*$I$28)+(G141*$I$29)+(G142*$I$30),"NA")</f>
        <v>4068382.4463465582</v>
      </c>
      <c r="H144" s="98">
        <f ca="1">IFERROR((H140*$I$28)+(H141*$I$29)+(H142*$I$30),"NA")</f>
        <v>4449403.6252107574</v>
      </c>
      <c r="I144" s="98">
        <f ca="1">IFERROR((I140*$I$28)+(I141*$I$29)+(I142*$I$30),"NA")</f>
        <v>4826285.8701584367</v>
      </c>
      <c r="J144" s="98">
        <f ca="1">IFERROR((J140*$I$28)+(J141*$I$29)+(J142*$I$30),"NA")</f>
        <v>5049115.0447899122</v>
      </c>
      <c r="K144" s="98">
        <f ca="1">IFERROR((K140*$I$28)+(K141*$I$29)+(K142*$I$30),"NA")</f>
        <v>5270240.4635291519</v>
      </c>
      <c r="L144" s="98">
        <f ca="1">IFERROR((L140*$I$28)+(L141*$I$29)+(L142*$I$30),"NA")</f>
        <v>5509741.5472521521</v>
      </c>
      <c r="M144" s="98">
        <f ca="1">IFERROR((M140*$I$28)+(M141*$I$29)+(M142*$I$30),"NA")</f>
        <v>5748137.2693908606</v>
      </c>
      <c r="N144" s="98" t="str">
        <f>IFERROR((N140*$I$28)+(N141*$I$29)+(N142*$I$30),"NA")</f>
        <v>NA</v>
      </c>
    </row>
    <row r="145" spans="2:14" hidden="1" outlineLevel="1" x14ac:dyDescent="0.45">
      <c r="B145" s="22" t="s">
        <v>92</v>
      </c>
      <c r="C145" s="8"/>
      <c r="D145" s="40"/>
      <c r="E145" s="99">
        <f ca="1">IFERROR(E144/E151,"NA")</f>
        <v>0.13491949508960477</v>
      </c>
      <c r="F145" s="99">
        <f ca="1">IFERROR(F144/F151,"NA")</f>
        <v>0.14158367071794495</v>
      </c>
      <c r="G145" s="99">
        <f ca="1">IFERROR(G144/G151,"NA")</f>
        <v>0.14885447067392235</v>
      </c>
      <c r="H145" s="99">
        <f ca="1">IFERROR(H144/H151,"NA")</f>
        <v>0.15556623509426581</v>
      </c>
      <c r="I145" s="99">
        <f ca="1">IFERROR(I144/I151,"NA")</f>
        <v>0.16164335737806709</v>
      </c>
      <c r="J145" s="99">
        <f ca="1">IFERROR(J144/J151,"NA")</f>
        <v>0.16500169181394378</v>
      </c>
      <c r="K145" s="99">
        <f ca="1">IFERROR(K144/K151,"NA")</f>
        <v>0.16817697038941853</v>
      </c>
      <c r="L145" s="99">
        <f ca="1">IFERROR(L144/L151,"NA")</f>
        <v>0.17145179715421052</v>
      </c>
      <c r="M145" s="99">
        <f ca="1">IFERROR(M144/M151,"NA")</f>
        <v>0.17455382325339283</v>
      </c>
      <c r="N145" s="99" t="str">
        <f>IFERROR(N144/N151,"NA")</f>
        <v>NA</v>
      </c>
    </row>
    <row r="146" spans="2:14" hidden="1" outlineLevel="1" x14ac:dyDescent="0.45">
      <c r="B146" s="22"/>
      <c r="C146" s="8"/>
      <c r="D146" s="4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2:14" collapsed="1" x14ac:dyDescent="0.45">
      <c r="B147" s="86" t="s">
        <v>55</v>
      </c>
      <c r="C147" s="87"/>
      <c r="D147" s="88"/>
      <c r="E147" s="89"/>
      <c r="F147" s="89"/>
      <c r="G147" s="89"/>
      <c r="H147" s="89"/>
      <c r="I147" s="89"/>
      <c r="J147" s="89"/>
      <c r="K147" s="89"/>
      <c r="L147" s="89"/>
      <c r="M147" s="89"/>
      <c r="N147" s="89"/>
    </row>
    <row r="148" spans="2:14" x14ac:dyDescent="0.45">
      <c r="B148" s="27"/>
      <c r="C148" s="8"/>
    </row>
    <row r="149" spans="2:14" x14ac:dyDescent="0.45">
      <c r="B149" s="73" t="s">
        <v>38</v>
      </c>
      <c r="C149" s="74"/>
      <c r="D149" s="72"/>
      <c r="E149" s="71">
        <f ca="1">IF(E$58&gt;$C$18,"",E135+E96)</f>
        <v>1859553.7587771777</v>
      </c>
      <c r="F149" s="71">
        <f ca="1">IF(F$58&gt;$C$18,"",F135+F96)</f>
        <v>2123342.8340417733</v>
      </c>
      <c r="G149" s="71">
        <f ca="1">IF(G$58&gt;$C$18,"",G135+G96)</f>
        <v>2413017.5536648156</v>
      </c>
      <c r="H149" s="71">
        <f ca="1">IF(H$58&gt;$C$18,"",H135+H96)</f>
        <v>2697996.3747931924</v>
      </c>
      <c r="I149" s="71">
        <f ca="1">IF(I$58&gt;$C$18,"",I135+I96)</f>
        <v>2731114.1298415633</v>
      </c>
      <c r="J149" s="71">
        <f ca="1">IF(J$58&gt;$C$18,"",J135+J96)</f>
        <v>2918284.9552100878</v>
      </c>
      <c r="K149" s="71">
        <f ca="1">IF(K$58&gt;$C$18,"",K135+K96)</f>
        <v>3107159.5364708486</v>
      </c>
      <c r="L149" s="71">
        <f ca="1">IF(L$58&gt;$C$18,"",L135+L96)</f>
        <v>3216458.4527478493</v>
      </c>
      <c r="M149" s="71">
        <f ca="1">IF(M$58&gt;$C$18,"",M135+M96)</f>
        <v>3326862.7306091404</v>
      </c>
      <c r="N149" s="71" t="str">
        <f>IF(N$58&gt;$C$18,"",N135+N96)</f>
        <v/>
      </c>
    </row>
    <row r="150" spans="2:14" x14ac:dyDescent="0.45">
      <c r="B150" s="73" t="s">
        <v>33</v>
      </c>
      <c r="C150" s="74"/>
      <c r="D150" s="72"/>
      <c r="E150" s="71">
        <f ca="1">IF(E$58&gt;$C$18,"",E136+E105)</f>
        <v>2196292.1038134145</v>
      </c>
      <c r="F150" s="71">
        <f ca="1">IF(F$58&gt;$C$18,"",F136+F105)</f>
        <v>2499799.9460974718</v>
      </c>
      <c r="G150" s="71">
        <f ca="1">IF(G$58&gt;$C$18,"",G136+G105)</f>
        <v>2845707.6252179025</v>
      </c>
      <c r="H150" s="71">
        <f ca="1">IF(H$58&gt;$C$18,"",H136+H105)</f>
        <v>3180658.2078507822</v>
      </c>
      <c r="I150" s="71">
        <f ca="1">IF(I$58&gt;$C$18,"",I136+I105)</f>
        <v>2981266.3029636471</v>
      </c>
      <c r="J150" s="71">
        <f ca="1">IF(J$58&gt;$C$18,"",J136+J105)</f>
        <v>3141331.562156871</v>
      </c>
      <c r="K150" s="71">
        <f ca="1">IF(K$58&gt;$C$18,"",K136+K105)</f>
        <v>3305372.2517653136</v>
      </c>
      <c r="L150" s="71">
        <f ca="1">IF(L$58&gt;$C$18,"",L136+L105)</f>
        <v>3487736.3897449821</v>
      </c>
      <c r="M150" s="71">
        <f ca="1">IF(M$58&gt;$C$18,"",M136+M105)</f>
        <v>3672679.7047546613</v>
      </c>
      <c r="N150" s="71" t="str">
        <f>IF(N$58&gt;$C$18,"",N136+N105)</f>
        <v/>
      </c>
    </row>
    <row r="151" spans="2:14" x14ac:dyDescent="0.45">
      <c r="B151" s="73" t="s">
        <v>46</v>
      </c>
      <c r="C151" s="74"/>
      <c r="D151" s="72"/>
      <c r="E151" s="71">
        <f ca="1">IF(E$58&gt;$C$18,"",E127+E114)</f>
        <v>25024154.137409408</v>
      </c>
      <c r="F151" s="71">
        <f ca="1">IF(F$58&gt;$C$18,"",F127+F114)</f>
        <v>26076857.219860755</v>
      </c>
      <c r="G151" s="71">
        <f ca="1">IF(G$58&gt;$C$18,"",G127+G114)</f>
        <v>27331274.821117282</v>
      </c>
      <c r="H151" s="71">
        <f ca="1">IF(H$58&gt;$C$18,"",H127+H114)</f>
        <v>28601345.417356025</v>
      </c>
      <c r="I151" s="71">
        <f ca="1">IF(I$58&gt;$C$18,"",I127+I114)</f>
        <v>29857619.56719479</v>
      </c>
      <c r="J151" s="71">
        <f ca="1">IF(J$58&gt;$C$18,"",J127+J114)</f>
        <v>30600383.482633039</v>
      </c>
      <c r="K151" s="71">
        <f ca="1">IF(K$58&gt;$C$18,"",K127+K114)</f>
        <v>31337468.211763836</v>
      </c>
      <c r="L151" s="71">
        <f ca="1">IF(L$58&gt;$C$18,"",L127+L114)</f>
        <v>32135805.15750717</v>
      </c>
      <c r="M151" s="71">
        <f ca="1">IF(M$58&gt;$C$18,"",M127+M114)</f>
        <v>32930457.564636201</v>
      </c>
      <c r="N151" s="71" t="str">
        <f>IF(N$58&gt;$C$18,"",N127+N114)</f>
        <v/>
      </c>
    </row>
    <row r="152" spans="2:14" x14ac:dyDescent="0.45">
      <c r="B152" s="22"/>
      <c r="C152" s="8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2:14" x14ac:dyDescent="0.45">
      <c r="C153" s="8"/>
    </row>
    <row r="154" spans="2:14" x14ac:dyDescent="0.45">
      <c r="B154" s="41" t="s">
        <v>56</v>
      </c>
      <c r="C154" s="42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4"/>
    </row>
    <row r="155" spans="2:14" x14ac:dyDescent="0.45">
      <c r="B155" s="45" t="s">
        <v>38</v>
      </c>
      <c r="E155" s="58">
        <f ca="1">IF(E$58&gt;$C$18,"",E149/$D$89)</f>
        <v>2.7548944574476706</v>
      </c>
      <c r="F155" s="58">
        <f ca="1">IF(F$58&gt;$C$18,"",F149/$D$89)</f>
        <v>3.1456930874692937</v>
      </c>
      <c r="G155" s="58">
        <f ca="1">IF(G$58&gt;$C$18,"",G149/$D$89)</f>
        <v>3.5748408202441713</v>
      </c>
      <c r="H155" s="58">
        <f ca="1">IF(H$58&gt;$C$18,"",H149/$D$89)</f>
        <v>3.997031666360285</v>
      </c>
      <c r="I155" s="58">
        <f ca="1">IF(I$58&gt;$C$18,"",I149/$D$89)</f>
        <v>4.0460950071726867</v>
      </c>
      <c r="J155" s="58">
        <f ca="1">IF(J$58&gt;$C$18,"",J149/$D$89)</f>
        <v>4.3233851188297594</v>
      </c>
      <c r="K155" s="58">
        <f ca="1">IF(K$58&gt;$C$18,"",K149/$D$89)</f>
        <v>4.6031993132901459</v>
      </c>
      <c r="L155" s="58">
        <f ca="1">IF(L$58&gt;$C$18,"",L149/$D$89)</f>
        <v>4.7651236337005178</v>
      </c>
      <c r="M155" s="58">
        <f ca="1">IF(M$58&gt;$C$18,"",M149/$D$89)</f>
        <v>4.9286855268283558</v>
      </c>
      <c r="N155" s="46" t="str">
        <f>IF(N$58&gt;$C$18,"",N149/$D$89)</f>
        <v/>
      </c>
    </row>
    <row r="156" spans="2:14" x14ac:dyDescent="0.45">
      <c r="B156" s="45" t="s">
        <v>33</v>
      </c>
      <c r="E156" s="58">
        <f ca="1">IF(E$58&gt;$C$18,"",E150/$D$99)</f>
        <v>3.2537660797235768</v>
      </c>
      <c r="F156" s="58">
        <f ca="1">IF(F$58&gt;$C$18,"",F150/$D$99)</f>
        <v>3.70340732755181</v>
      </c>
      <c r="G156" s="58">
        <f ca="1">IF(G$58&gt;$C$18,"",G150/$D$99)</f>
        <v>4.2158631484709668</v>
      </c>
      <c r="H156" s="58">
        <f ca="1">IF(H$58&gt;$C$18,"",H150/$D$99)</f>
        <v>4.712086233853011</v>
      </c>
      <c r="I156" s="58">
        <f ca="1">IF(I$58&gt;$C$18,"",I150/$D$99)</f>
        <v>4.4166908192054031</v>
      </c>
      <c r="J156" s="58">
        <f ca="1">IF(J$58&gt;$C$18,"",J150/$D$99)</f>
        <v>4.6538245365286981</v>
      </c>
      <c r="K156" s="58">
        <f ca="1">IF(K$58&gt;$C$18,"",K150/$D$99)</f>
        <v>4.896847780393057</v>
      </c>
      <c r="L156" s="58">
        <f ca="1">IF(L$58&gt;$C$18,"",L150/$D$99)</f>
        <v>5.1670168736962694</v>
      </c>
      <c r="M156" s="58">
        <f ca="1">IF(M$58&gt;$C$18,"",M150/$D$99)</f>
        <v>5.4410069700069057</v>
      </c>
      <c r="N156" s="46" t="str">
        <f>IF(N$58&gt;$C$18,"",N150/$D$99)</f>
        <v/>
      </c>
    </row>
    <row r="157" spans="2:14" x14ac:dyDescent="0.45">
      <c r="B157" s="47" t="s">
        <v>46</v>
      </c>
      <c r="C157" s="7"/>
      <c r="D157" s="7"/>
      <c r="E157" s="48">
        <f ca="1">IF(E$58&gt;$C$18,"",E151/$D$108)</f>
        <v>2.0596011635727907</v>
      </c>
      <c r="F157" s="48">
        <f ca="1">IF(F$58&gt;$C$18,"",F151/$D$108)</f>
        <v>2.1462433925811322</v>
      </c>
      <c r="G157" s="48">
        <f ca="1">IF(G$58&gt;$C$18,"",G151/$D$108)</f>
        <v>2.2494876395981303</v>
      </c>
      <c r="H157" s="48">
        <f ca="1">IF(H$58&gt;$C$18,"",H151/$D$108)</f>
        <v>2.3540201989593434</v>
      </c>
      <c r="I157" s="48">
        <f ca="1">IF(I$58&gt;$C$18,"",I151/$D$108)</f>
        <v>2.4574172483287891</v>
      </c>
      <c r="J157" s="48">
        <f ca="1">IF(J$58&gt;$C$18,"",J151/$D$108)</f>
        <v>2.5185500808751473</v>
      </c>
      <c r="K157" s="48">
        <f ca="1">IF(K$58&gt;$C$18,"",K151/$D$108)</f>
        <v>2.5792154906801512</v>
      </c>
      <c r="L157" s="48">
        <f ca="1">IF(L$58&gt;$C$18,"",L151/$D$108)</f>
        <v>2.6449222351857755</v>
      </c>
      <c r="M157" s="48">
        <f ca="1">IF(M$58&gt;$C$18,"",M151/$D$108)</f>
        <v>2.710325725484461</v>
      </c>
      <c r="N157" s="49" t="str">
        <f>IF(N$58&gt;$C$18,"",N151/$D$108)</f>
        <v/>
      </c>
    </row>
    <row r="159" spans="2:14" x14ac:dyDescent="0.45">
      <c r="B159" s="41" t="s">
        <v>57</v>
      </c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4"/>
    </row>
    <row r="160" spans="2:14" x14ac:dyDescent="0.45">
      <c r="B160" s="45" t="s">
        <v>38</v>
      </c>
      <c r="E160" s="57">
        <f ca="1">IF(E$58&gt;$C$18,"",(E149/$D$89)^(1/E$58)-1)</f>
        <v>1.7548944574476706</v>
      </c>
      <c r="F160" s="57">
        <f ca="1">IF(F$58&gt;$C$18,"",(F149/$D$89)^(1/F$58)-1)</f>
        <v>0.77361018475574106</v>
      </c>
      <c r="G160" s="57">
        <f ca="1">IF(G$58&gt;$C$18,"",(G149/$D$89)^(1/G$58)-1)</f>
        <v>0.52904019717799056</v>
      </c>
      <c r="H160" s="57">
        <f ca="1">IF(H$58&gt;$C$18,"",(H149/$D$89)^(1/H$58)-1)</f>
        <v>0.41395112322421479</v>
      </c>
      <c r="I160" s="57">
        <f ca="1">IF(I$58&gt;$C$18,"",(I149/$D$89)^(1/I$58)-1)</f>
        <v>0.32253512513310256</v>
      </c>
      <c r="J160" s="57">
        <f ca="1">IF(J$58&gt;$C$18,"",(J149/$D$89)^(1/J$58)-1)</f>
        <v>0.27635256032669808</v>
      </c>
      <c r="K160" s="57">
        <f ca="1">IF(K$58&gt;$C$18,"",(K149/$D$89)^(1/K$58)-1)</f>
        <v>0.24372059422414249</v>
      </c>
      <c r="L160" s="57">
        <f ca="1">IF(L$58&gt;$C$18,"",(L149/$D$89)^(1/L$58)-1)</f>
        <v>0.21551205854748989</v>
      </c>
      <c r="M160" s="57">
        <f ca="1">IF(M$58&gt;$C$18,"",(M149/$D$89)^(1/M$58)-1)</f>
        <v>0.19390596828946638</v>
      </c>
      <c r="N160" s="50" t="str">
        <f>IF(N$58&gt;$C$18,"",(N149/$D$89)^(1/N$58)-1)</f>
        <v/>
      </c>
    </row>
    <row r="161" spans="2:14" x14ac:dyDescent="0.45">
      <c r="B161" s="45" t="s">
        <v>33</v>
      </c>
      <c r="E161" s="57">
        <f ca="1">IF(E$58&gt;$C$18,"",(E150/$D$99)^(1/E$58)-1)</f>
        <v>2.2537660797235768</v>
      </c>
      <c r="F161" s="57">
        <f ca="1">IF(F$58&gt;$C$18,"",(F150/$D$99)^(1/F$58)-1)</f>
        <v>0.92442389497527544</v>
      </c>
      <c r="G161" s="57">
        <f ca="1">IF(G$58&gt;$C$18,"",(G150/$D$99)^(1/G$58)-1)</f>
        <v>0.61545736850021093</v>
      </c>
      <c r="H161" s="57">
        <f ca="1">IF(H$58&gt;$C$18,"",(H150/$D$99)^(1/H$58)-1)</f>
        <v>0.47334111159562031</v>
      </c>
      <c r="I161" s="57">
        <f ca="1">IF(I$58&gt;$C$18,"",(I150/$D$99)^(1/I$58)-1)</f>
        <v>0.34592047424516803</v>
      </c>
      <c r="J161" s="57">
        <f ca="1">IF(J$58&gt;$C$18,"",(J150/$D$99)^(1/J$58)-1)</f>
        <v>0.29211648558802006</v>
      </c>
      <c r="K161" s="57">
        <f ca="1">IF(K$58&gt;$C$18,"",(K150/$D$99)^(1/K$58)-1)</f>
        <v>0.25475667548665815</v>
      </c>
      <c r="L161" s="57">
        <f ca="1">IF(L$58&gt;$C$18,"",(L150/$D$99)^(1/L$58)-1)</f>
        <v>0.22787734077133814</v>
      </c>
      <c r="M161" s="57">
        <f ca="1">IF(M$58&gt;$C$18,"",(M150/$D$99)^(1/M$58)-1)</f>
        <v>0.20709692189815443</v>
      </c>
      <c r="N161" s="50" t="str">
        <f>IF(N$58&gt;$C$18,"",(N150/$D$99)^(1/N$58)-1)</f>
        <v/>
      </c>
    </row>
    <row r="162" spans="2:14" x14ac:dyDescent="0.45">
      <c r="B162" s="47" t="s">
        <v>46</v>
      </c>
      <c r="C162" s="7"/>
      <c r="D162" s="7"/>
      <c r="E162" s="51">
        <f ca="1">IF(E$58&gt;$C$18,"",(E151/$D$108)^(1/E$58)-1)</f>
        <v>1.0596011635727907</v>
      </c>
      <c r="F162" s="51">
        <f ca="1">IF(F$58&gt;$C$18,"",(F151/$D$108)^(1/F$58)-1)</f>
        <v>0.46500627731799571</v>
      </c>
      <c r="G162" s="51">
        <f ca="1">IF(G$58&gt;$C$18,"",(G151/$D$108)^(1/G$58)-1)</f>
        <v>0.31027122554521358</v>
      </c>
      <c r="H162" s="51">
        <f ca="1">IF(H$58&gt;$C$18,"",(H151/$D$108)^(1/H$58)-1)</f>
        <v>0.23866123523788252</v>
      </c>
      <c r="I162" s="51">
        <f ca="1">IF(I$58&gt;$C$18,"",(I151/$D$108)^(1/I$58)-1)</f>
        <v>0.19700449270414411</v>
      </c>
      <c r="J162" s="51">
        <f ca="1">IF(J$58&gt;$C$18,"",(J151/$D$108)^(1/J$58)-1)</f>
        <v>0.16642933096875834</v>
      </c>
      <c r="K162" s="51">
        <f ca="1">IF(K$58&gt;$C$18,"",(K151/$D$108)^(1/K$58)-1)</f>
        <v>0.1449432127239505</v>
      </c>
      <c r="L162" s="51">
        <f ca="1">IF(L$58&gt;$C$18,"",(L151/$D$108)^(1/L$58)-1)</f>
        <v>0.12927993960526041</v>
      </c>
      <c r="M162" s="51">
        <f ca="1">IF(M$58&gt;$C$18,"",(M151/$D$108)^(1/M$58)-1)</f>
        <v>0.11715516713908047</v>
      </c>
      <c r="N162" s="52" t="str">
        <f>IF(N$58&gt;$C$18,"",(N151/$D$108)^(1/N$58)-1)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 Medford</dc:creator>
  <cp:lastModifiedBy>Marci Medford</cp:lastModifiedBy>
  <dcterms:created xsi:type="dcterms:W3CDTF">2024-04-11T18:48:17Z</dcterms:created>
  <dcterms:modified xsi:type="dcterms:W3CDTF">2024-04-12T21:09:28Z</dcterms:modified>
</cp:coreProperties>
</file>